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ocuments\DTI-RapidGrowth\Systems\Systems\dti_web_app_v2\assets\downloadables\"/>
    </mc:Choice>
  </mc:AlternateContent>
  <xr:revisionPtr revIDLastSave="0" documentId="13_ncr:1_{04B4532F-6E13-4063-B52E-E692A92F30C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DN_FOs" sheetId="1" r:id="rId1"/>
    <sheet name="DDN_SHFs" sheetId="2" r:id="rId2"/>
    <sheet name="DDO_FOs" sheetId="3" state="hidden" r:id="rId3"/>
    <sheet name="DS_FOs" sheetId="4" state="hidden" r:id="rId4"/>
    <sheet name="DOCC_FOs" sheetId="5" state="hidden" r:id="rId5"/>
  </sheets>
  <definedNames>
    <definedName name="_xlnm._FilterDatabase" localSheetId="1" hidden="1">DDN_SHFs!$A$9:$CZ$9</definedName>
    <definedName name="_xlnm._FilterDatabase" localSheetId="2" hidden="1">DDO_FOs!$A$4:$BH$39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AgxxvK5uXXwiY4j+IZ5axPUod7rQ/dQbsZ8zQZw/OwU="/>
    </ext>
  </extLst>
</workbook>
</file>

<file path=xl/calcChain.xml><?xml version="1.0" encoding="utf-8"?>
<calcChain xmlns="http://schemas.openxmlformats.org/spreadsheetml/2006/main">
  <c r="U32" i="3" l="1"/>
  <c r="CF4" i="2"/>
  <c r="CE4" i="2"/>
  <c r="BY4" i="2"/>
  <c r="BW4" i="2"/>
  <c r="BV4" i="2"/>
  <c r="BU4" i="2"/>
  <c r="BT4" i="2"/>
  <c r="AJ4" i="2"/>
  <c r="AI4" i="2"/>
  <c r="AH4" i="2"/>
  <c r="AB4" i="2"/>
  <c r="Z4" i="2"/>
  <c r="R4" i="2"/>
  <c r="Q4" i="2"/>
  <c r="P4" i="2"/>
  <c r="O4" i="2"/>
  <c r="N4" i="2"/>
  <c r="M4" i="2"/>
</calcChain>
</file>

<file path=xl/sharedStrings.xml><?xml version="1.0" encoding="utf-8"?>
<sst xmlns="http://schemas.openxmlformats.org/spreadsheetml/2006/main" count="1970" uniqueCount="751">
  <si>
    <t xml:space="preserve">RAPID Growth Project </t>
  </si>
  <si>
    <t>MG Implemention Tracker Database</t>
  </si>
  <si>
    <t xml:space="preserve">Province: </t>
  </si>
  <si>
    <t>IMPLEMENTING UNITS</t>
  </si>
  <si>
    <t>DIP</t>
  </si>
  <si>
    <t>FARMER ORGANIZATION (FO) BASIC INFORMATION</t>
  </si>
  <si>
    <t>ACKNOWLEDGEMENT OF FARM EXPANSION ASSISTANCE</t>
  </si>
  <si>
    <t>ACKNOWLEDGEMENT OF FARM INTENSIFICATION ASSISTANCE</t>
  </si>
  <si>
    <t>ACKNOWLEDGEMENT OF FARM REHABILITATION ASSISTANCE</t>
  </si>
  <si>
    <t>ACKNOWLEDGEMENT OF PRODUCTIVE INVESTMENTS</t>
  </si>
  <si>
    <t>NO.</t>
  </si>
  <si>
    <t>IMPLEMENTING REGION</t>
  </si>
  <si>
    <t>IMPLEMENTING PROVINCE</t>
  </si>
  <si>
    <t>DIP NAME</t>
  </si>
  <si>
    <t>COMMODITY</t>
  </si>
  <si>
    <t>NAME OF FARMER ORGANIZATION</t>
  </si>
  <si>
    <t>FARMER ORGANIZATION (FO) ADDRESS</t>
  </si>
  <si>
    <t>HEAD/CHAIRPERSON OF FARMER ORGANIZATION</t>
  </si>
  <si>
    <t>TARGET AREA FOR EXPANSION IN HECTARES</t>
  </si>
  <si>
    <t>NAME/PARTICULARS OF ITEMS/SEEDLINGS RECEIVED</t>
  </si>
  <si>
    <t>QUANTITY OF ITEMS RECEIVED</t>
  </si>
  <si>
    <t>DATE RECEIVED</t>
  </si>
  <si>
    <t>NAME OF FARMER REPRESENTATIVE</t>
  </si>
  <si>
    <t>NAME OF WITNESS 1</t>
  </si>
  <si>
    <t>NAME OF WITNESS 2/ VALIDATION DETAILS</t>
  </si>
  <si>
    <t>NAME OF WITNESS 1_RAW</t>
  </si>
  <si>
    <t>NAME OF WITNESS 2/ VALIDATION DETAILS_RAW</t>
  </si>
  <si>
    <t>TARGET AREA FOR INTENSIFICATION IN HECTARES</t>
  </si>
  <si>
    <t>TARGET AREA FOR REHABILITATION IN HECTARES</t>
  </si>
  <si>
    <t>QUANTITY OF FARM REHABILITATION TOOLS RECEIVED</t>
  </si>
  <si>
    <t>VALIDATION DETAILS</t>
  </si>
  <si>
    <t>SPECIFIC/TYPE OF PRODUCTIVE INVESTMENTS ACCESSED/USED BY FARMER</t>
  </si>
  <si>
    <t>REGION</t>
  </si>
  <si>
    <t>PROVINCE</t>
  </si>
  <si>
    <t>MUNICIPALITY</t>
  </si>
  <si>
    <t>BARANGAY</t>
  </si>
  <si>
    <t>STREET/PUROK/
 SITIO</t>
  </si>
  <si>
    <t>FIRST NAME</t>
  </si>
  <si>
    <t>MIDDLE NAME</t>
  </si>
  <si>
    <t>LAST NAME</t>
  </si>
  <si>
    <t>EXTENSION NAME</t>
  </si>
  <si>
    <t>SEX</t>
  </si>
  <si>
    <t>SECTOR</t>
  </si>
  <si>
    <t>DESIGNATION</t>
  </si>
  <si>
    <t>FULL NAME OF VALIDATOR</t>
  </si>
  <si>
    <t>DATE OF VALIDATION</t>
  </si>
  <si>
    <t>DATE WITNESSED</t>
  </si>
  <si>
    <t>REMARKS/CHALLENGES</t>
  </si>
  <si>
    <t>High Pruner Saw</t>
  </si>
  <si>
    <t>Mini Chainsaw</t>
  </si>
  <si>
    <t>Knapsack Sprayer</t>
  </si>
  <si>
    <t>NAME OF VALIDATOR</t>
  </si>
  <si>
    <t>DATA OF VALIDATION</t>
  </si>
  <si>
    <t>REMARKS/CHALLENGES AND OTHER OBSERVABLE ADOPTED TECHNOLOGIES/NOTABLE RESULTS</t>
  </si>
  <si>
    <t>REMARKS/CHALLENGES/
 NOTABLE RESULTS</t>
  </si>
  <si>
    <t>R11_Kennemer Foods International, Inc.</t>
  </si>
  <si>
    <t>Cacao</t>
  </si>
  <si>
    <t>San Isidro</t>
  </si>
  <si>
    <t>M.</t>
  </si>
  <si>
    <t>Male</t>
  </si>
  <si>
    <t>Cacao Seedlings</t>
  </si>
  <si>
    <t>Chairman</t>
  </si>
  <si>
    <t>P.</t>
  </si>
  <si>
    <t>Female</t>
  </si>
  <si>
    <t>G.</t>
  </si>
  <si>
    <t>S.</t>
  </si>
  <si>
    <t>B.</t>
  </si>
  <si>
    <t>F.</t>
  </si>
  <si>
    <t>Alejandro</t>
  </si>
  <si>
    <t>Poblacion</t>
  </si>
  <si>
    <t>Eduardo</t>
  </si>
  <si>
    <t>Jr.</t>
  </si>
  <si>
    <t>E.</t>
  </si>
  <si>
    <t>R11_KFI Expansion</t>
  </si>
  <si>
    <t>FARMER BASIC INFORMATION</t>
  </si>
  <si>
    <t>PLANTED AREA FOR EXPANSION</t>
  </si>
  <si>
    <r>
      <rPr>
        <b/>
        <sz val="12"/>
        <color rgb="FF000000"/>
        <rFont val="Arial"/>
      </rPr>
      <t xml:space="preserve">ACKNOWLEDGEMENT OF FARM INTENSIFICATION ASSISTANCE
</t>
    </r>
    <r>
      <rPr>
        <b/>
        <sz val="12"/>
        <color rgb="FFFF0000"/>
        <rFont val="Arial"/>
      </rPr>
      <t>( Indicate NA if farm intensification is not part of the MG assistance to be received by farmer)
(possible a tickbox Yes or no)</t>
    </r>
  </si>
  <si>
    <t>PLANTED AREA FOR INTENSIFICATION</t>
  </si>
  <si>
    <t>REHABILITATED FARM AREA</t>
  </si>
  <si>
    <t>ACCESS TO PRODUCTIVE INVESTMENTS</t>
  </si>
  <si>
    <r>
      <rPr>
        <b/>
        <sz val="12"/>
        <color rgb="FF000000"/>
        <rFont val="Arial"/>
      </rPr>
      <t xml:space="preserve">IMPLEMENTING REGION
</t>
    </r>
    <r>
      <rPr>
        <b/>
        <sz val="12"/>
        <color rgb="FFFF0000"/>
        <rFont val="Arial"/>
      </rPr>
      <t>(Dropdown)</t>
    </r>
  </si>
  <si>
    <r>
      <rPr>
        <b/>
        <sz val="12"/>
        <color rgb="FF000000"/>
        <rFont val="Arial"/>
      </rPr>
      <t xml:space="preserve">IMPLEMENTING PROVINCE
</t>
    </r>
    <r>
      <rPr>
        <b/>
        <sz val="12"/>
        <color rgb="FFFF0000"/>
        <rFont val="Arial"/>
      </rPr>
      <t>(dropdown)</t>
    </r>
  </si>
  <si>
    <r>
      <rPr>
        <b/>
        <sz val="12"/>
        <color rgb="FF000000"/>
        <rFont val="Arial"/>
      </rPr>
      <t>DIP NAME</t>
    </r>
    <r>
      <rPr>
        <b/>
        <sz val="12"/>
        <color rgb="FFFF0000"/>
        <rFont val="Arial"/>
      </rPr>
      <t xml:space="preserve">
(dropdown: Link to DCF 1)</t>
    </r>
  </si>
  <si>
    <r>
      <rPr>
        <b/>
        <sz val="12"/>
        <color rgb="FF000000"/>
        <rFont val="Arial"/>
      </rPr>
      <t xml:space="preserve">COMMODITY
</t>
    </r>
    <r>
      <rPr>
        <b/>
        <sz val="12"/>
        <color rgb="FFFF0000"/>
        <rFont val="Arial"/>
      </rPr>
      <t>(Auto generated from DIP name)</t>
    </r>
  </si>
  <si>
    <r>
      <rPr>
        <b/>
        <sz val="12"/>
        <color rgb="FF000000"/>
        <rFont val="Arial"/>
      </rPr>
      <t xml:space="preserve">MEMBERSHIP TO ASSOCIATION /ORGANIZATION/COOP
</t>
    </r>
    <r>
      <rPr>
        <b/>
        <sz val="12"/>
        <color rgb="FFFF0000"/>
        <rFont val="Arial"/>
      </rPr>
      <t>(Dropdown - link to PF B)</t>
    </r>
  </si>
  <si>
    <r>
      <rPr>
        <b/>
        <sz val="12"/>
        <color rgb="FF000000"/>
        <rFont val="Arial"/>
      </rPr>
      <t xml:space="preserve">NAME OF FARMER
</t>
    </r>
    <r>
      <rPr>
        <b/>
        <sz val="12"/>
        <color rgb="FFFF0000"/>
        <rFont val="Arial"/>
      </rPr>
      <t>(Dropdown- link to PF A)</t>
    </r>
  </si>
  <si>
    <r>
      <rPr>
        <b/>
        <sz val="12"/>
        <color rgb="FF000000"/>
        <rFont val="Arial"/>
      </rPr>
      <t xml:space="preserve">BIRTH DATE
</t>
    </r>
    <r>
      <rPr>
        <b/>
        <sz val="12"/>
        <color rgb="FFFF0000"/>
        <rFont val="Arial"/>
      </rPr>
      <t>(Auto generated from name of farmer/PFA)</t>
    </r>
  </si>
  <si>
    <r>
      <rPr>
        <b/>
        <sz val="12"/>
        <color rgb="FF000000"/>
        <rFont val="Arial"/>
      </rPr>
      <t xml:space="preserve">SEX
</t>
    </r>
    <r>
      <rPr>
        <b/>
        <sz val="12"/>
        <color rgb="FFFF0000"/>
        <rFont val="Arial"/>
      </rPr>
      <t>(Auto generated from name of farmer/PFA)</t>
    </r>
  </si>
  <si>
    <r>
      <rPr>
        <b/>
        <sz val="12"/>
        <color rgb="FF000000"/>
        <rFont val="Arial"/>
      </rPr>
      <t xml:space="preserve">SECTOR
</t>
    </r>
    <r>
      <rPr>
        <b/>
        <sz val="12"/>
        <color rgb="FFFF0000"/>
        <rFont val="Arial"/>
      </rPr>
      <t>(Auto generated from name of farmer/PFA)</t>
    </r>
  </si>
  <si>
    <r>
      <rPr>
        <b/>
        <sz val="12"/>
        <color rgb="FF000000"/>
        <rFont val="Arial"/>
      </rPr>
      <t xml:space="preserve">FARMER ADDRESS
</t>
    </r>
    <r>
      <rPr>
        <b/>
        <sz val="12"/>
        <color rgb="FFFF0000"/>
        <rFont val="Arial"/>
      </rPr>
      <t>(Auto generated from name of farmer/PFA)</t>
    </r>
  </si>
  <si>
    <r>
      <rPr>
        <b/>
        <sz val="12"/>
        <color rgb="FF000000"/>
        <rFont val="Arial"/>
      </rPr>
      <t xml:space="preserve">FARM LOCATION/COORDINATES
</t>
    </r>
    <r>
      <rPr>
        <b/>
        <sz val="12"/>
        <color rgb="FFFF0000"/>
        <rFont val="Arial"/>
      </rPr>
      <t>(Auto generated from name of farmer/PFA)</t>
    </r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</si>
  <si>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</si>
  <si>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t>PLANTING TIMELINE/RANGE</t>
  </si>
  <si>
    <t>TOTAL AREA PLANTED (in HAs)</t>
  </si>
  <si>
    <t>NO. OF SEEDLINGS PLANTED</t>
  </si>
  <si>
    <t>NO. OF SEEDLINGS NOT PLANTED</t>
  </si>
  <si>
    <t>MORTALITY RATE</t>
  </si>
  <si>
    <r>
      <rPr>
        <sz val="12"/>
        <color rgb="FF000000"/>
        <rFont val="Arial"/>
      </rPr>
      <t xml:space="preserve">Good Agricultural Practices
 PLANTING AND CROP ESTABLISHMENT
</t>
    </r>
    <r>
      <rPr>
        <sz val="12"/>
        <color rgb="FFFF0000"/>
        <rFont val="Arial"/>
      </rPr>
      <t>(Checkbox: inlcude Specify, Can multiple selection)</t>
    </r>
  </si>
  <si>
    <r>
      <rPr>
        <sz val="12"/>
        <color rgb="FF000000"/>
        <rFont val="Arial"/>
      </rPr>
      <t xml:space="preserve">Source of Inputs for Farm Management
</t>
    </r>
    <r>
      <rPr>
        <sz val="12"/>
        <color rgb="FFFF0000"/>
        <rFont val="Arial"/>
      </rPr>
      <t>(Autogeneration from DCF 11 Data)</t>
    </r>
  </si>
  <si>
    <r>
      <rPr>
        <sz val="12"/>
        <color rgb="FF000000"/>
        <rFont val="Arial"/>
      </rPr>
      <t xml:space="preserve">Good Agricultural Practices
 SOIL AND NUTRIENT MANAGEMENT
</t>
    </r>
    <r>
      <rPr>
        <sz val="12"/>
        <color rgb="FFFF0000"/>
        <rFont val="Arial"/>
      </rPr>
      <t>(Checkbox: inlcude Specify, Can multiple selection)</t>
    </r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</si>
  <si>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</si>
  <si>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t>NAME/PARTICULARS OF ITEMS RECEIVED</t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</si>
  <si>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</si>
  <si>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t>PLANTING DISTANCE (in meters)</t>
  </si>
  <si>
    <t>HOLE DEPTH AND CIRCUMFERENCE (in cm)</t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</si>
  <si>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</si>
  <si>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r>
      <rPr>
        <b/>
        <sz val="12"/>
        <color rgb="FF000000"/>
        <rFont val="Arial"/>
      </rPr>
      <t xml:space="preserve">QUANTITY REHAB TOOLS RECEIVED
</t>
    </r>
    <r>
      <rPr>
        <b/>
        <sz val="12"/>
        <color rgb="FFFF0000"/>
        <rFont val="Arial"/>
      </rPr>
      <t>(Manual)</t>
    </r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</si>
  <si>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</si>
  <si>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t>REHABILITATION TIMELINE/RANGE</t>
  </si>
  <si>
    <t>TOTAL AREA REHABILITATED (in HAs)</t>
  </si>
  <si>
    <t>NO. OF TREES REHABILITATED</t>
  </si>
  <si>
    <r>
      <rPr>
        <b/>
        <sz val="12"/>
        <color rgb="FF000000"/>
        <rFont val="Arial"/>
      </rPr>
      <t xml:space="preserve">GOOD AGRICULTURAL PRACTICES
</t>
    </r>
    <r>
      <rPr>
        <b/>
        <sz val="12"/>
        <color rgb="FFFF0000"/>
        <rFont val="Arial"/>
      </rPr>
      <t>(Checkbox: inlcude Specify, Can multiple selection)</t>
    </r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</si>
  <si>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</si>
  <si>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r>
      <rPr>
        <b/>
        <sz val="12"/>
        <color rgb="FF000000"/>
        <rFont val="Arial"/>
      </rPr>
      <t xml:space="preserve">VALIDATION DETAILS
</t>
    </r>
    <r>
      <rPr>
        <b/>
        <sz val="12"/>
        <color rgb="FFFF0000"/>
        <rFont val="Arial"/>
      </rPr>
      <t>(Manual)</t>
    </r>
  </si>
  <si>
    <t>PWD</t>
  </si>
  <si>
    <t>Youth</t>
  </si>
  <si>
    <t>IP</t>
  </si>
  <si>
    <t>SC</t>
  </si>
  <si>
    <t>Region</t>
  </si>
  <si>
    <t>Province</t>
  </si>
  <si>
    <t>Municipality</t>
  </si>
  <si>
    <t>Brgy</t>
  </si>
  <si>
    <t>Street/Prk./Sitio</t>
  </si>
  <si>
    <t>LONGITUDE</t>
  </si>
  <si>
    <t>LATITUDE</t>
  </si>
  <si>
    <t>(Manual)</t>
  </si>
  <si>
    <t>Planting Distance (3m by 3m between hills and rows)</t>
  </si>
  <si>
    <t>Digging holes (40cm in diameter and 40cm in depth)</t>
  </si>
  <si>
    <t>Separate top soil from the subsoil as the former is more fertile than the latter.</t>
  </si>
  <si>
    <t>Removing plastic bag before placing the seedling in the hole.</t>
  </si>
  <si>
    <t>Applying mulching around the plant base.</t>
  </si>
  <si>
    <t>Shading Establishment and Maintenance</t>
  </si>
  <si>
    <t>Own</t>
  </si>
  <si>
    <t>Government Agency</t>
  </si>
  <si>
    <t>Loan</t>
  </si>
  <si>
    <t>Others</t>
  </si>
  <si>
    <t>Basal Fertilizer Application</t>
  </si>
  <si>
    <t>Foliar Fertilizer Application</t>
  </si>
  <si>
    <t>Pesticide / Insecticide Application</t>
  </si>
  <si>
    <t>Plant based-fertilizer / fruit juices Application</t>
  </si>
  <si>
    <t>VALIDATED BY</t>
  </si>
  <si>
    <t>REMARKS/CHALLENGES AND OTHER OBSERVABLE ADOPTED TECHNOLOGIES</t>
  </si>
  <si>
    <t>Manual</t>
  </si>
  <si>
    <t>PRUNING SHEAR</t>
  </si>
  <si>
    <t>PRUNING SAW</t>
  </si>
  <si>
    <t>BUDDING KNIFE</t>
  </si>
  <si>
    <t>GRAFTING TAPE</t>
  </si>
  <si>
    <t>Others: Please specify</t>
  </si>
  <si>
    <t>Shading Maintenance</t>
  </si>
  <si>
    <t>Tip Pruning</t>
  </si>
  <si>
    <t>Shape Pruning</t>
  </si>
  <si>
    <t>Access Pruning</t>
  </si>
  <si>
    <t>Sanitary Pruning 
 (remove dead, diseased, or damaged branches)</t>
  </si>
  <si>
    <t>Maintenance Pruning 
 (Thin the canopy by removing overcrowded branches.)</t>
  </si>
  <si>
    <t>Using appropriate tools such as, pruning knife and pruning saw.</t>
  </si>
  <si>
    <t>Farm Record Keeping</t>
  </si>
  <si>
    <t>Chupon/ Side Grafting</t>
  </si>
  <si>
    <t>Foliar Fertilizer/ Pesticide Application</t>
  </si>
  <si>
    <t>Sealing / Painting Pruned Trees</t>
  </si>
  <si>
    <t>Observance of the 40-50 cm Rejuv Height</t>
  </si>
  <si>
    <t>Grafting / Side Graft</t>
  </si>
  <si>
    <t>Format</t>
  </si>
  <si>
    <t>Numerical (8, 9, 10,11, 12, 13, BARMM)</t>
  </si>
  <si>
    <t>Full Name of Province (e.g., Davao del Sur)
 Indicate NA, for DIPs implemented by the Region</t>
  </si>
  <si>
    <t>DIP Code : Region_DIP Name (e.g., R8_SC Global)</t>
  </si>
  <si>
    <t>Coffee, Cacao, Coconut, Calamansi, Banana</t>
  </si>
  <si>
    <t>Reflect full name of coop or FO based on official registration name; and should be consistent with FO name indicated in Profile Forms A and B ;
 e.g., Mamangan Farmers Organization
  If respondent is individual farmer indicate Non-FO member</t>
  </si>
  <si>
    <t>Full First Name (e.g., Nadine). First letter should be capital.</t>
  </si>
  <si>
    <t>Full middle name (e.g., Lustre ). First letter should be capital.</t>
  </si>
  <si>
    <t>Full last name (e.g., Reid). First letter should be capital.</t>
  </si>
  <si>
    <t>e.g., Jr., Sr.; III; II (roman numeral)</t>
  </si>
  <si>
    <t>Options: Female or Male
  First letter should be capital</t>
  </si>
  <si>
    <t>Options: PWD,Youth,IP
 Write NA if not applicable to any sector. 
 Place comma if applicable to more than one sector (e.g., PWD,Youth)</t>
  </si>
  <si>
    <t>Numerical except for BARMM: 8,9,10,11,12,13,BARMM</t>
  </si>
  <si>
    <t>Full name of province (e.g., Davao del Sur)</t>
  </si>
  <si>
    <t>Full name of City/Municipality (e.g., Davao City, Kapalong)</t>
  </si>
  <si>
    <t>Indicate full Brgy. Name
 e.g.. Mintal</t>
  </si>
  <si>
    <t>Full name of street/sitio/Prk.
 e.g., Trevally St. Sitio Pogi, Prk. 4A</t>
  </si>
  <si>
    <t>refer to/copy the latitude of farm location based on the application used</t>
  </si>
  <si>
    <t>refer to/copy the longitude of farm location based on the application used</t>
  </si>
  <si>
    <t>numeric. include four decimal places (e.g., 1.0000)
 Indicate NA if farm expansion is not part of the MG assistance to be received by farmer</t>
  </si>
  <si>
    <t>e.g., Cacao Seedlings
 Indicate NA if farm expansion is not part of the MG assistance to be received by farmers</t>
  </si>
  <si>
    <t>Whole number 
 e.g., 500
 Indicate NA if farm expansion is not part of the MG assistance to be received by farmer</t>
  </si>
  <si>
    <t>Year-month-day 
 e.g., 1990-12-25
 add 0 before numerals 1 to 9 (e.g., 2023-01-09)
 Indicate NA if farm expansion is not part of the MG assistance to be received by farmer</t>
  </si>
  <si>
    <t>Family Name,&lt;space&gt;First Name&lt;space&gt;Middle Initial.
 e.g., Reid, Nadine L. 
 Indicate NA if farm expansion is not part of the MG assistance to be received by farmer</t>
  </si>
  <si>
    <t>Provide notes and 
 Indicate NA if farm expansion is not part of the MG assistance to be received by farmer</t>
  </si>
  <si>
    <t>Year-month-day 
 e.g.. 2023-12-25
 If specific day cannot be recalled, default day is 01 (e.g. 2023-12-01). 
 add 0 before numerals 1 to 9 (e.g., 2023-01-09)
 Indicate NA if farm expansion is not part of the MG assistance to be received by farmer</t>
  </si>
  <si>
    <t>numeric. include four decimal places (e.g., 1.0000)
 Indicate NA if farm expansion is not part of the MG assistance o be received by farmer</t>
  </si>
  <si>
    <t>Whole number 
 e.g., 500
 Indicate NA if farm expansion is not part of the MG assistance o be received by farmer</t>
  </si>
  <si>
    <t>Whole number 
 e.g., 50
 Indicate NA if farm expansion is not part of the MG assistance o be received by farmer</t>
  </si>
  <si>
    <t>Indicate NA if farm expansion assistance is not part of the MG assistance to be received by farmer</t>
  </si>
  <si>
    <t>Year-month-day 
 e.g.,1990-12-25
 add 0 before numerals 1 to 9 e.g., 2023-01-09
 Indicate NA if farm expansion assistance is not part of the MG assistance to be received by farmer</t>
  </si>
  <si>
    <t>Indicate NA if farm expansion is not part of the MG assistance to be received by farmer</t>
  </si>
  <si>
    <t>numeric. include four decimal places (e.g., 1.0000)
 Indicate NA if farm intensification is not part of the MG assistance to be received by farmer</t>
  </si>
  <si>
    <t>e.g., Cacao Seedlings
 Indicate NA if farm intensification is not part of the MG assistance to be received by farmer</t>
  </si>
  <si>
    <t>Whole number 
 e.g., 500
 Indicate NA if farm intensification is not part of the MG assistance to be received by farmer</t>
  </si>
  <si>
    <t>Year-month-day 
 e.g.. 1990-12-25
 add 0 before numerals 1 to 9 e.g., 2023-01-09
 Indicate NA if farm intensification is not part of the MG assistance to be received by farmer</t>
  </si>
  <si>
    <t>Family Name,&lt;space&gt;First Name&lt;space&gt;Middle Initial.
 e.g., Reid, Nadine L. 
 Indicate NA if farm intensification is not part of the MG assistance to be received by farmer</t>
  </si>
  <si>
    <t>Year-month-day 
 e.g., 1990-12-25
 add 0 before numerals 1 to 9 e.g., 2023-01-09
 Indicate NA if farm intensification is not part of the MG assistance to be received by farmer</t>
  </si>
  <si>
    <t>Indicate NA if farm intensification is not part of the MG assistance to be received by farmer</t>
  </si>
  <si>
    <t>Year-month-day 
 e.g.. 2023-12-25
 If specific day cannot be recalled, default day is 01 (e.g. 2023-12-01). 
 add 0 before numerals 1 to 9 e.g., 2023-01-09
 Indicate NA if farm intensification assistance is not part of the MG assistance to be received by farmer</t>
  </si>
  <si>
    <t>numeric. include four decimal places (e.g., 1.0000)
 Indicate NA if farm intensification assistance is not part of the MG assistance o be received by farmer</t>
  </si>
  <si>
    <t>Whole number 
 e.g., 500
 Indicate NA if farm intensification assistance is not part of the MG assistance o be received by farmer</t>
  </si>
  <si>
    <t>Length in meters X Width in meters
 e.g., 3X3 
 Indicate NA if farm intensification assistance is not part of the MG assistance o be received by farmer.</t>
  </si>
  <si>
    <t>Depth in cm X Circumference in cm
 e.g., 50X50 
 Indicate NA if farm intensification assistance is not part of the MG assistance o be received by farmer</t>
  </si>
  <si>
    <t>Indicate NA if farm intensification assistance is not part of the MG assistance o be received by farmer</t>
  </si>
  <si>
    <t>Family Name,&lt;space&gt;First Name&lt;space&gt;Middle Initial.
 e.g., Reid, Nadine L. 
 Indicate NA if farm intensification assistance is not part of the MG assistance o be received by farmer</t>
  </si>
  <si>
    <t>Year-month-day 
 e.g., 1990-12-25
 add 0 before numerals 1 to 9 e.g., 2023-01-09
 Indicate NA if farm expansion assistance is not part of the MG assistance</t>
  </si>
  <si>
    <t>numeric. include four decimal places (e.g., 1.0000)
 Indicate NA if farm expansion assistance is not part of the MG assistance to be received by farmer</t>
  </si>
  <si>
    <t>e.g., Pruning Shears
 Add comma for multiple entries (e.g., Pruning Shears,Grafting Knife)
 Indicate NA if farm rehabilitation assistance is not part of the MG assistance to be received by farmer</t>
  </si>
  <si>
    <t>Year-month-day 
 e.g.. 1990-12-25
 add 0 before numerals 1 to 9 e.g., 2023-01-09
 Indicate NA if farm expansion assistance is not part of the MG assistance to be received by farmer</t>
  </si>
  <si>
    <t>Family Name,&lt;space&gt;First Name&lt;space&gt;Middle Initial.
 e.g., Reid, Nadine L. 
 Indicate NA if farm expansion assistance is not part of the MG assistance to be received by farmer</t>
  </si>
  <si>
    <t>Year-month-day 
 e.g.. 1990-12-25
 add 0 before numerals 1 to 9 e.g., 2023-01-09
 Indicate NA if farm expansion assistance is not part of the MG assistance</t>
  </si>
  <si>
    <t>Year-month-day 
 e.g., 2023-12-25
 If specific day cannot be recalled, default day is 01 (e.g. 2023-12-01). 
 (add 0 before numerals 1 to 9 e.g., 2023-01-09)
 Indicate NA if farm rehabilitation assistance is not part of the MG assistance to be received by farmer</t>
  </si>
  <si>
    <t>numeric. include four decimal places (e.g., 1.0000)
 Indicate NA if farm rehabilitation assistance is not part of the MG assistance to be received by farmer</t>
  </si>
  <si>
    <t>Whole number 
 e.g., 500
 Indicate NA if farm rehabilitation assistance is not part of the MG assistance to be received by farmer</t>
  </si>
  <si>
    <t>Indicate NA if farm intensification is not part of the MG assistance o be received by farmer</t>
  </si>
  <si>
    <t>e.g., wing van
 Add comma for multiple entries (e.g., Pruning Shears,Grafting Knife)
 Indicate NA if farm rehabilitation assistance is not part of the MG assistance to be received by farmer</t>
  </si>
  <si>
    <t>Family Name,&lt;space&gt;First Name&lt;space&gt;Middle Initial.
 e.g., Reid, Nadine L. 
 Indicate NA if productive investments is not part of the MG assistance to be received by farmer</t>
  </si>
  <si>
    <t>Year-month-day 
 e.g., 1990-12-25
 Indicate NA if productive investments is not part of the MG assistance to be received by farmer</t>
  </si>
  <si>
    <t>e.g., increased income due to increased frequency and volume of collecting/selling of whole nuts through the use of the vehicle;
 Indicate NA if productive investments is not part of the MG assistance to be received by farmer</t>
  </si>
  <si>
    <t>RAPID Growth Project</t>
  </si>
  <si>
    <t>Province:</t>
  </si>
  <si>
    <t>NAME/PARTICULARS OF FARM REHABILITATION TOOLS RECEIVED</t>
  </si>
  <si>
    <t xml:space="preserve">SPECIFIC/TYPE OF PRODUCTIVE INVESTMENTS ACCESSED/USED BY FARMER </t>
  </si>
  <si>
    <t>STREET/Prk./
SITIO</t>
  </si>
  <si>
    <t>High Pruner</t>
  </si>
  <si>
    <t>Grass Cutter</t>
  </si>
  <si>
    <t>REMARKS/CHALLENGES/
NOTABLE RESULTS</t>
  </si>
  <si>
    <t xml:space="preserve">DESIGNATION </t>
  </si>
  <si>
    <t>Volume (kg)</t>
  </si>
  <si>
    <t>Buying Price per kg (PHP) of KFI</t>
  </si>
  <si>
    <t>Description</t>
  </si>
  <si>
    <t>Name of Region/RCU implementing the DIP</t>
  </si>
  <si>
    <t>Name of Province implementing the DIP</t>
  </si>
  <si>
    <t>Refers to name of approved DIP</t>
  </si>
  <si>
    <t>Commodity of approved DIP</t>
  </si>
  <si>
    <t>Farmer Organization based on approved MG/DIP, which will received the project's intervention/assistance</t>
  </si>
  <si>
    <t>Full office address of Farmer Organization</t>
  </si>
  <si>
    <t>Refers to Chairperson or Head of the Farmer Organization that will receive MG-related support/interventions</t>
  </si>
  <si>
    <t>Sex of FO Chair</t>
  </si>
  <si>
    <t>Specific sector of the FO Chair</t>
  </si>
  <si>
    <t>Total farm area that will be expanded through the MG assistance/inputs</t>
  </si>
  <si>
    <t>Type or specific items/farms inputs received by farmers</t>
  </si>
  <si>
    <t>Number of farm items/ inputs received</t>
  </si>
  <si>
    <t>Specific date of receiving farm inputs/seedlings for expansion by farmers</t>
  </si>
  <si>
    <t>Name of FO Representative/Member who received and inspected the seedlings/expansion assistance</t>
  </si>
  <si>
    <t>Name of witness (e.g., agricultural technician, technical staff) who inspected the quality of the delivered seedlings/farm inputs</t>
  </si>
  <si>
    <t>Specific date of inspection</t>
  </si>
  <si>
    <t>Full Name of Validator/witness 2 - RAPID Project Staff</t>
  </si>
  <si>
    <t>Date of validation</t>
  </si>
  <si>
    <t>Indicate challenges. And other remarks that the field validator would like to note/highlight.</t>
  </si>
  <si>
    <t>Total farm area that will be rehabilitated through the MG assistance/inputs</t>
  </si>
  <si>
    <t>Type or specific farm tools received by FO</t>
  </si>
  <si>
    <t>Number of farm tools received by FO</t>
  </si>
  <si>
    <t>Specific date of receiving farm tools for rehabilitation</t>
  </si>
  <si>
    <t>Name of FO Representative/Member who received and inspected the farm materials</t>
  </si>
  <si>
    <t>Full Name of Validator</t>
  </si>
  <si>
    <t>Indicate challenges or notable practices. Include ther remarks that the field validator would like to note/highlight.</t>
  </si>
  <si>
    <t>Type or specific productive investments received by farmers</t>
  </si>
  <si>
    <t>Number of productive investments received</t>
  </si>
  <si>
    <t>Specific date of receiving the productive investments</t>
  </si>
  <si>
    <t>Name of FO Representative/Member who received and inspected the productive investments</t>
  </si>
  <si>
    <t>Indicate other remarks,challenges, and results to farmers on the use/access to the productive investments in terms of productivity, sales, and etc.</t>
  </si>
  <si>
    <t xml:space="preserve">Type or specific productive investments received by farmers </t>
  </si>
  <si>
    <t xml:space="preserve">Specific date of receiving the productive investments </t>
  </si>
  <si>
    <t xml:space="preserve">Full Name of Validator </t>
  </si>
  <si>
    <t>Full Name of Province (e.g., Davao del Sur)
Indicate NA, for DIPs implemented by the Region</t>
  </si>
  <si>
    <t>Reflect full name of coop or FO based on official registration name; and should be consistent with FO name indicated in Profile Forms A and B ;
e.g., Mamangan Farmers Organization
 If respondent is individual farmer indicate Non-FO member</t>
  </si>
  <si>
    <t>Indicate full Brgy. Name
e.g.. Mintal</t>
  </si>
  <si>
    <t>Full name of street/sitio/Prk.
e.g., Trevally St. Sitio Pogi, Prk. 4A</t>
  </si>
  <si>
    <t>e.g., Jr., Sr.; III; II (roman numeral)
NA if not applicable</t>
  </si>
  <si>
    <t>Options: Female or Male
 First letter should be capital</t>
  </si>
  <si>
    <t>Options: PWD, Youth, IP
Write NA if not applicable to any sector. 
Place comma if applicable to more than one sector (e.g., PWD,Youth)</t>
  </si>
  <si>
    <t>numeric. include four decimal places (e.g., 1.0000)
Indicate NA if farm expansion is not part of the MG assistance to be received by FO</t>
  </si>
  <si>
    <t>e.g., Cacao Seedlings
Indicate NA if farm expansion is not part of the MG assistance to be received by FO</t>
  </si>
  <si>
    <t>Whole number 
e.g., 500
Indicate NA if farm expansion is not part of the MG assistance to be received by FO</t>
  </si>
  <si>
    <t>Year-month-day 
e.g., 1990-12-25
add 0 before numerals 1 to 9 (e.g., 2023-01-09)
Indicate NA if farm expansion is not part of the MG assistance to be received by FO</t>
  </si>
  <si>
    <t>Full First Name (e.g., Nadine). First letter should be capital.
Indicate NA if farm expansion is not part of the MG assistance to be received by FO</t>
  </si>
  <si>
    <t>Full middle name (e.g., Lustre ). First letter should be capital.
Indicate NA if farm expansion is not part of the MG assistance to be received by FO</t>
  </si>
  <si>
    <t>Full last name (e.g., Reid). First letter should be capital.
Indicate NA if farm expansion is not part of the MG assistance to be received by FO</t>
  </si>
  <si>
    <t>e.g., Jr., Sr.; III; II (roman numeral)
NA if not applicable
Indicate NA if farm expansion is not part of the MG assistance to be received by FO</t>
  </si>
  <si>
    <t>e.g., Chairperson, Secretary
Indicate NA if farm expansion is not part of the MG assistance to be received by FO</t>
  </si>
  <si>
    <t>Family Name,&lt;space&gt;First Name&lt;space&gt;Middle Initial.
e.g., Reid, Nadine L. 
Indicate NA if farm expansion is not part of the MG assistance to be received by FO</t>
  </si>
  <si>
    <t>Specific designation,&lt;space&gt;agency/office
e.g., STIDS, Department of Agriculture</t>
  </si>
  <si>
    <t>Provide notes and 
Indicate NA if farm expansion is not part of the MG assistance to be received by FO</t>
  </si>
  <si>
    <t>Total farm area that will be rehabilitated through the MG assistance/inputs
Indicate NA if farm rehabilitation is not part of the MG assistance to be received by FO</t>
  </si>
  <si>
    <t>e.g., Pruning Shears
Indicate NA if farm rehabilitation is not part of the MG assistance to be received by FO
add comma for multiple entries</t>
  </si>
  <si>
    <t>Whole number 
e.g., 500
Indicate NA if farm rehabilitation is not part of the MG assistance to be received by FO</t>
  </si>
  <si>
    <t>Year-month-day 
e.g., 1990-12-25
add 0 before numerals 1 to 9 (e.g., 2023-01-09)
Indicate NA if farm rehabilitation is not part of the MG assistance to be received by FO</t>
  </si>
  <si>
    <t>First Name (e.g., Nadine). First letter should be capital.
Indicate NA if farm rehabilitation is not part of the MG assistance to be received by FO</t>
  </si>
  <si>
    <t>Full middle name (e.g., Lustre ). First letter should be capital.
Indicate NA if farm rehabilitation is not part of the MG assistance to be received by FO</t>
  </si>
  <si>
    <t>Last name (e.g., Reid). First letter should be capital.
Indicate NA if farm rehabilitation is not part of the MG assistance to be received by FO</t>
  </si>
  <si>
    <t>e.g., Jr., Sr.; III; II (roman numeral)
NA if no extension name
Indicate NA if farm rehabilitation is not part of the MG assistance to be received by FO</t>
  </si>
  <si>
    <t>e.g., Chairperson, Secretary
Indicate NA if farm rehabilitation is not part of the MG assistance to be received by FO</t>
  </si>
  <si>
    <t>Family Name,&lt;space&gt;First Name&lt;space&gt;Middle Initial.
e.g., Reid, Nadine L. 
Indicate NA if farm rehabilitation is not part of the MG assistance to be received by farmer</t>
  </si>
  <si>
    <t>Year-month-day 
e.g.. 1990-12-25
add 0 before numerals 1 to 9 e.g., 2023-01-09
Indicate NA if farm rehabilitation is not part of the MG assistance</t>
  </si>
  <si>
    <t>Indicate NA if farm rehabilitation is not part of the MG assistance o be received by farmer</t>
  </si>
  <si>
    <t>e.g., Wing Van Vehicle
Indicate NA if productive investment is not part of the MG assistance to be received by FO</t>
  </si>
  <si>
    <t>Whole number 
e.g., 500
Indicate NA if productive investment is not part of the MG assistance to be received by FO</t>
  </si>
  <si>
    <t>Year-month-day 
e.g., 1990-12-25
add 0 before numerals 1 to 9 (e.g., 2023-01-09)
Indicate NA if productive investment is not part of the MG assistance to be received by FO</t>
  </si>
  <si>
    <t>First Name (e.g., Nadine). First letter should be capital.
Indicate NA if productive investment is not part of the MG assistance to be received by FO</t>
  </si>
  <si>
    <t>Full middle name (e.g., Lustre ). First letter should be capital.
Indicate NA if productive investment is not part of the MG assistance to be received by FO</t>
  </si>
  <si>
    <t>Last name (e.g., Reid). First letter should be capital.
Indicate NA if productive investment is not part of the MG assistance to be received by FO</t>
  </si>
  <si>
    <t>e.g., Jr., Sr.; III; II (roman numeral)
NA if no extension name
Indicate NA if productive investment is not part of the MG assistance to be received by FO</t>
  </si>
  <si>
    <t>e.g., Chairperson, Secretary
Indicate NA if productive investment is not part of the MG assistance to be received by FO</t>
  </si>
  <si>
    <t>Family Name,&lt;space&gt;First Name&lt;space&gt;Middle Initial.
e.g., Reid, Nadine L. 
Indicate NA if productive investments is not part of the MG assistance to be received by farmer</t>
  </si>
  <si>
    <t>Year-month-day 
e.g., 1990-12-25
Indicate NA if productive investments is not part of the MG assistance to be received by farmer</t>
  </si>
  <si>
    <t>e.g., increased income due to increased frequency and volume of collecting/selling of whole nuts through the use of the vehicle;
Indicate NA if productive investments is not part of the MG assistance to be received by farmer</t>
  </si>
  <si>
    <r>
      <rPr>
        <sz val="12"/>
        <color rgb="FF000000"/>
        <rFont val="Arial"/>
      </rPr>
      <t xml:space="preserve">Year-month-day 
e.g..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e.g., </t>
    </r>
    <r>
      <rPr>
        <b/>
        <sz val="12"/>
        <color rgb="FF000000"/>
        <rFont val="Arial"/>
      </rPr>
      <t>2023-01-09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</t>
    </r>
  </si>
  <si>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 is not part of the MG assistance o be received by farmer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</si>
  <si>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Wing Van Vehicle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</si>
  <si>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</si>
  <si>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</si>
  <si>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</si>
  <si>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</si>
  <si>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</si>
  <si>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</si>
  <si>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</si>
  <si>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 is not part of the MG assistance to be received by farmer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</si>
  <si>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 is not part of the MG assistance to be received by farmer</t>
    </r>
  </si>
  <si>
    <r>
      <rPr>
        <sz val="12"/>
        <color rgb="FF000000"/>
        <rFont val="Arial"/>
      </rPr>
      <t xml:space="preserve">
e.g., increased income due to increased frequency and volume of collecting/selling of whole nuts through the use of the vehicle;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is not part of the MG assistance to be received by farmer</t>
    </r>
  </si>
  <si>
    <t>Reference: MG Implementation Forms</t>
  </si>
  <si>
    <t>Data Capture Form 1: DIP Preparation and Approval Tracker</t>
  </si>
  <si>
    <t>Reference Documents: Inputs to these columns should be consistent with the data from the following forms: (1) Profile Form B for Farmer Organizations (2) MGI Form 2_Delivery Validation for Expansion/Intensification; (3) MGI Form 6_Delivery Validation for Rehabilitation; and (4) MGI Form 9_Delivery Validation of Productive Investments</t>
  </si>
  <si>
    <t>MGI Form 1_Farmer Validation for Expansion/Intensification</t>
  </si>
  <si>
    <t>MGI Form 2_Delivery Validation for Expansion/Intensification</t>
  </si>
  <si>
    <t>MGI Form 5_Farmer Validation for Rehabilitation</t>
  </si>
  <si>
    <t>MGI Form 9_Delivery Validation of Productive Investments</t>
  </si>
  <si>
    <t>Davao de Oro</t>
  </si>
  <si>
    <t>Maragusan Multipurpose Cooperative (MAMPCO)</t>
  </si>
  <si>
    <t>Maragusan</t>
  </si>
  <si>
    <t>Prk. 1</t>
  </si>
  <si>
    <t>Leopoldo</t>
  </si>
  <si>
    <t>Reponte</t>
  </si>
  <si>
    <t>NA</t>
  </si>
  <si>
    <t>Melvin</t>
  </si>
  <si>
    <t>Morales</t>
  </si>
  <si>
    <t>Agricultural Technician</t>
  </si>
  <si>
    <t>Lantajo, Jan T.</t>
  </si>
  <si>
    <t>KFI Field Supervisor</t>
  </si>
  <si>
    <t>2022-09-13
2023-06-14
2023-09-13</t>
  </si>
  <si>
    <t>Armando</t>
  </si>
  <si>
    <t>Escuadro</t>
  </si>
  <si>
    <t>Manager</t>
  </si>
  <si>
    <t>Pantinople, Beverly C.
Dalde, Al Dexter A.</t>
  </si>
  <si>
    <t>Fermentation Facility</t>
  </si>
  <si>
    <t>Pantinople, Beverly C.</t>
  </si>
  <si>
    <t>One (1) fermentations facility was completed following the propsed plan, and MAMPCO is currently using it to ferment their wet cacao beans.</t>
  </si>
  <si>
    <t>All Weather Dryer</t>
  </si>
  <si>
    <t>The two (2) units All Weather Dryers were fully constructed.</t>
  </si>
  <si>
    <t>Laak Multipurpose Cooperative (LAMPCO)</t>
  </si>
  <si>
    <t>Laak</t>
  </si>
  <si>
    <t>Prk. 4</t>
  </si>
  <si>
    <t>Generoso</t>
  </si>
  <si>
    <t>Dumaog</t>
  </si>
  <si>
    <t>2023-01-31
2023-02-03
2023-06-15
2023-06-21
2023-08-10
2023-09-12
2023-10-04
2023-10-05</t>
  </si>
  <si>
    <t>Aga</t>
  </si>
  <si>
    <t>D.</t>
  </si>
  <si>
    <t>Tumaquin</t>
  </si>
  <si>
    <t>Gustilo, Arben B.
Dalde, Al Dexter A.</t>
  </si>
  <si>
    <t>2022-09-19
2023-06-27
2023-09-27</t>
  </si>
  <si>
    <t>Edesa</t>
  </si>
  <si>
    <t>A.</t>
  </si>
  <si>
    <t>Morante</t>
  </si>
  <si>
    <t>General Manager</t>
  </si>
  <si>
    <t>Mae Ann</t>
  </si>
  <si>
    <t>Bellera</t>
  </si>
  <si>
    <t>Branch Manager</t>
  </si>
  <si>
    <t>Comval Farmers Multipurpose Cooperative (COFAMPCO)</t>
  </si>
  <si>
    <t>New Bataan</t>
  </si>
  <si>
    <t>Camanlangan</t>
  </si>
  <si>
    <t>Prk. 18</t>
  </si>
  <si>
    <t>Surio</t>
  </si>
  <si>
    <t>2023-01-27
2023-06-01</t>
  </si>
  <si>
    <t>2022-09-08
2023-06-16
2023-09-29</t>
  </si>
  <si>
    <t>Chairperson</t>
  </si>
  <si>
    <t>Dumlan Association of Cacao Planters (DASCAP)</t>
  </si>
  <si>
    <t>Maco</t>
  </si>
  <si>
    <t>Dumlan</t>
  </si>
  <si>
    <t>Felixberto</t>
  </si>
  <si>
    <t>Puno</t>
  </si>
  <si>
    <t>Katipunan Multipurpose Cooperative (KMPC)</t>
  </si>
  <si>
    <t>Nabunturan</t>
  </si>
  <si>
    <t>Katipunan</t>
  </si>
  <si>
    <t>Prk. 1A</t>
  </si>
  <si>
    <t>Billy</t>
  </si>
  <si>
    <t>Y.</t>
  </si>
  <si>
    <t>Cañales</t>
  </si>
  <si>
    <t>New Calape Multipurpose Cooperative (NCMPC)</t>
  </si>
  <si>
    <t>Montevista</t>
  </si>
  <si>
    <t>New Calape</t>
  </si>
  <si>
    <t>Lope</t>
  </si>
  <si>
    <t>Mahumas</t>
  </si>
  <si>
    <t>Padilla</t>
  </si>
  <si>
    <t>New Leyte Agriculture Cooperative (NLAC)</t>
  </si>
  <si>
    <t>New Leyte</t>
  </si>
  <si>
    <t>Jovannie</t>
  </si>
  <si>
    <t>Mondaya</t>
  </si>
  <si>
    <t>New Dalaguete Farmers Association (NDFA)</t>
  </si>
  <si>
    <t>New Dalaguete</t>
  </si>
  <si>
    <t>Prk. 2A</t>
  </si>
  <si>
    <t>Lilian</t>
  </si>
  <si>
    <t>Libas</t>
  </si>
  <si>
    <t>Brgy. Gubatan Cacao Farmers Producers Association (BGCFPA)</t>
  </si>
  <si>
    <t>Gubatan</t>
  </si>
  <si>
    <t>Emilia</t>
  </si>
  <si>
    <t>Ombajin</t>
  </si>
  <si>
    <t>APEX Employees and Community Multipurpose Cooperative (AEC MPC)</t>
  </si>
  <si>
    <t>Masara</t>
  </si>
  <si>
    <t>Zone 2</t>
  </si>
  <si>
    <t>Ferdinand</t>
  </si>
  <si>
    <t>Dobli</t>
  </si>
  <si>
    <t>R11_Premium &amp; Specialty Coffee Value Chain</t>
  </si>
  <si>
    <t>Coffee</t>
  </si>
  <si>
    <t>Coffee Cluster 1</t>
  </si>
  <si>
    <t>Prk. 4A</t>
  </si>
  <si>
    <t>Coffee Seedlings</t>
  </si>
  <si>
    <t>Community Based Agri-Enterprise Association (CBAEA)</t>
  </si>
  <si>
    <t>Elizalde</t>
  </si>
  <si>
    <t>Meriam</t>
  </si>
  <si>
    <t>Aninon</t>
  </si>
  <si>
    <t>Mascareg Farmers Association (MASFARMASSO)</t>
  </si>
  <si>
    <t>Mabini</t>
  </si>
  <si>
    <t>Anitapan</t>
  </si>
  <si>
    <t>Prk. Pag-asa Mascareg</t>
  </si>
  <si>
    <t>Mary Joy</t>
  </si>
  <si>
    <t>Q.</t>
  </si>
  <si>
    <t>Piloton</t>
  </si>
  <si>
    <t>New Barili Upland Farmers Association (NEBUFA)</t>
  </si>
  <si>
    <t>New Barili</t>
  </si>
  <si>
    <t>Villarba</t>
  </si>
  <si>
    <t>Paloc Coffee Farmers Association (PCFA)</t>
  </si>
  <si>
    <t>Paloc</t>
  </si>
  <si>
    <t>Saturnino</t>
  </si>
  <si>
    <t>Vicere</t>
  </si>
  <si>
    <t>Panoraon Integrated Women Farmers Association (PIWFA)</t>
  </si>
  <si>
    <t>Panoraon</t>
  </si>
  <si>
    <t>Tagbaros Integrated Farmers Association (TIFA)</t>
  </si>
  <si>
    <t>Tagbaros</t>
  </si>
  <si>
    <t>Feleciano</t>
  </si>
  <si>
    <t>Roveno</t>
  </si>
  <si>
    <t>Escabusa</t>
  </si>
  <si>
    <t>Coffee Cluster 2</t>
  </si>
  <si>
    <t>Andap Coffee Farmers Association (ACOFA)</t>
  </si>
  <si>
    <t>Andap</t>
  </si>
  <si>
    <t>Dominador</t>
  </si>
  <si>
    <t>Madasig</t>
  </si>
  <si>
    <t>Guilabtan</t>
  </si>
  <si>
    <t>Las Arenas Farmers Association (LAFARMCO)</t>
  </si>
  <si>
    <t>Pantukan</t>
  </si>
  <si>
    <t>Maragusan Coffee Farmers Association (MARCOFA)</t>
  </si>
  <si>
    <t>New Albay</t>
  </si>
  <si>
    <t>Prk. Highlander</t>
  </si>
  <si>
    <t>Neptaley</t>
  </si>
  <si>
    <t>Masumbid</t>
  </si>
  <si>
    <t>Maragusan Growers Multipurpose Cooperative (MAGROW MPC)</t>
  </si>
  <si>
    <t>Rizal Street</t>
  </si>
  <si>
    <t>Arcadio</t>
  </si>
  <si>
    <t>Sonorio</t>
  </si>
  <si>
    <t>Sabella</t>
  </si>
  <si>
    <t>Malamboon Farmer Consumer Cooperative (MAFARMCOCO)</t>
  </si>
  <si>
    <t>Tandik Multipurpose Cooperative (TMPC)</t>
  </si>
  <si>
    <t>Tandik</t>
  </si>
  <si>
    <t>Prk. Madasigon</t>
  </si>
  <si>
    <t>Jupiter</t>
  </si>
  <si>
    <t>Comania</t>
  </si>
  <si>
    <t xml:space="preserve">DIP </t>
  </si>
  <si>
    <t xml:space="preserve">FARMER ORGANIZATION (FO) BASIC INFORMATION </t>
  </si>
  <si>
    <t xml:space="preserve">IMPLEMENTING PROVINCE </t>
  </si>
  <si>
    <t xml:space="preserve">TARGET AREA FOR EXPANSION IN HECTARES </t>
  </si>
  <si>
    <t xml:space="preserve">NAME/PARTICULARS OF ITEMS/SEEDLINGS RECEIVED </t>
  </si>
  <si>
    <t xml:space="preserve">TARGET AREA FOR INTENSIFICATION IN HECTARES </t>
  </si>
  <si>
    <t xml:space="preserve">TARGET AREA FOR REHABILITATION IN HECTARES </t>
  </si>
  <si>
    <t xml:space="preserve">NAME/PARTICULARS OF FARM REHABILITATION TOOLS RECEIVED </t>
  </si>
  <si>
    <t>BARBCO</t>
  </si>
  <si>
    <t xml:space="preserve">Refers to Chairperson or Head of the Farmer Organization that will receive MG-related support/interventions </t>
  </si>
  <si>
    <t xml:space="preserve">Type or specific items/farms inputs received by farmers </t>
  </si>
  <si>
    <t xml:space="preserve">Name of FO Representative/Member who received and inspected the seedlings/expansion assistance </t>
  </si>
  <si>
    <t>Total farm area that will be intensified through the MG assistance/inputs</t>
  </si>
  <si>
    <t xml:space="preserve">Name of FO Representative/Member who received and inspected the seedlings/farm intensification assistance </t>
  </si>
  <si>
    <t xml:space="preserve">Type or specific farm tools received by FO </t>
  </si>
  <si>
    <t>Number of farm tools  received by FO</t>
  </si>
  <si>
    <t xml:space="preserve">Name of FO Representative/Member who received and inspected the farm materials </t>
  </si>
  <si>
    <r>
      <rPr>
        <sz val="12"/>
        <color rgb="FF000000"/>
        <rFont val="Arial"/>
      </rPr>
      <t xml:space="preserve">Full Name of Province (e.g., Davao del Sur)
Indicate </t>
    </r>
    <r>
      <rPr>
        <b/>
        <sz val="12"/>
        <color rgb="FF000000"/>
        <rFont val="Arial"/>
      </rPr>
      <t>NA,</t>
    </r>
    <r>
      <rPr>
        <sz val="12"/>
        <color rgb="FF000000"/>
        <rFont val="Arial"/>
      </rPr>
      <t xml:space="preserve"> for DIPs implemented by the Region</t>
    </r>
  </si>
  <si>
    <r>
      <rPr>
        <sz val="12"/>
        <color rgb="FF000000"/>
        <rFont val="Arial"/>
      </rPr>
      <t xml:space="preserve">Reflect full name of coop or FO based on official registration name; and should be consistent with FO name indicated in Profile Forms A and B ;
e.g., </t>
    </r>
    <r>
      <rPr>
        <b/>
        <sz val="12"/>
        <color rgb="FF000000"/>
        <rFont val="Arial"/>
      </rPr>
      <t xml:space="preserve">Mamangan Farmers Organization
</t>
    </r>
    <r>
      <rPr>
        <sz val="12"/>
        <color rgb="FF000000"/>
        <rFont val="Arial"/>
      </rPr>
      <t xml:space="preserve">
 If respondent is individual farmer indicate </t>
    </r>
    <r>
      <rPr>
        <b/>
        <sz val="12"/>
        <color rgb="FF000000"/>
        <rFont val="Arial"/>
      </rPr>
      <t>Non-FO member</t>
    </r>
  </si>
  <si>
    <r>
      <rPr>
        <sz val="12"/>
        <color rgb="FF000000"/>
        <rFont val="Arial"/>
      </rPr>
      <t xml:space="preserve">Numerical except for BARMM:   </t>
    </r>
    <r>
      <rPr>
        <b/>
        <sz val="12"/>
        <color rgb="FF000000"/>
        <rFont val="Arial"/>
      </rPr>
      <t>8,9,10,11,12,13,BARMM</t>
    </r>
  </si>
  <si>
    <r>
      <rPr>
        <sz val="12"/>
        <color rgb="FF000000"/>
        <rFont val="Arial"/>
      </rPr>
      <t xml:space="preserve">Full name of province (e.g., </t>
    </r>
    <r>
      <rPr>
        <b/>
        <sz val="12"/>
        <color rgb="FF000000"/>
        <rFont val="Arial"/>
      </rPr>
      <t>Davao del Sur</t>
    </r>
    <r>
      <rPr>
        <sz val="12"/>
        <color rgb="FF000000"/>
        <rFont val="Arial"/>
      </rPr>
      <t>)</t>
    </r>
  </si>
  <si>
    <r>
      <rPr>
        <sz val="12"/>
        <color rgb="FF000000"/>
        <rFont val="Arial"/>
      </rPr>
      <t xml:space="preserve">Full name of City/Municipality (e.g., </t>
    </r>
    <r>
      <rPr>
        <b/>
        <sz val="12"/>
        <color rgb="FF000000"/>
        <rFont val="Arial"/>
      </rPr>
      <t>Davao City, Kapalong</t>
    </r>
    <r>
      <rPr>
        <sz val="12"/>
        <color rgb="FF000000"/>
        <rFont val="Arial"/>
      </rPr>
      <t>)</t>
    </r>
  </si>
  <si>
    <r>
      <rPr>
        <sz val="12"/>
        <color rgb="FF000000"/>
        <rFont val="Arial"/>
      </rPr>
      <t xml:space="preserve">
Indicate full Brgy. Name
e.g.. </t>
    </r>
    <r>
      <rPr>
        <b/>
        <sz val="12"/>
        <color rgb="FF000000"/>
        <rFont val="Arial"/>
      </rPr>
      <t>Mintal</t>
    </r>
  </si>
  <si>
    <r>
      <rPr>
        <sz val="12"/>
        <color rgb="FF000000"/>
        <rFont val="Arial"/>
      </rPr>
      <t xml:space="preserve">Full name of street/sitio/Prk.
e.g., </t>
    </r>
    <r>
      <rPr>
        <b/>
        <sz val="12"/>
        <color rgb="FF000000"/>
        <rFont val="Arial"/>
      </rPr>
      <t>Trevally St. Sitio Pogi, Prk. 4A</t>
    </r>
    <r>
      <rPr>
        <sz val="12"/>
        <color rgb="FF000000"/>
        <rFont val="Arial"/>
      </rPr>
      <t xml:space="preserve">
</t>
    </r>
  </si>
  <si>
    <r>
      <rPr>
        <sz val="12"/>
        <color rgb="FF000000"/>
        <rFont val="Arial"/>
      </rPr>
      <t xml:space="preserve">Full 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>). First letter should be capital.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</si>
  <si>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>). First letter should be capital.</t>
    </r>
  </si>
  <si>
    <r>
      <rPr>
        <sz val="12"/>
        <color rgb="FF000000"/>
        <rFont val="Arial"/>
      </rPr>
      <t xml:space="preserve">Full 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>. First letter should be capital.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</si>
  <si>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not applicable</t>
    </r>
  </si>
  <si>
    <r>
      <rPr>
        <sz val="12"/>
        <color rgb="FF000000"/>
        <rFont val="Arial"/>
      </rPr>
      <t xml:space="preserve">Options: </t>
    </r>
    <r>
      <rPr>
        <b/>
        <sz val="12"/>
        <color rgb="FF000000"/>
        <rFont val="Arial"/>
      </rPr>
      <t xml:space="preserve">Female or Male
</t>
    </r>
    <r>
      <rPr>
        <sz val="12"/>
        <color rgb="FF000000"/>
        <rFont val="Arial"/>
      </rPr>
      <t xml:space="preserve"> First letter should be capital</t>
    </r>
  </si>
  <si>
    <r>
      <rPr>
        <sz val="12"/>
        <color rgb="FF000000"/>
        <rFont val="Arial"/>
      </rPr>
      <t xml:space="preserve">Options: </t>
    </r>
    <r>
      <rPr>
        <b/>
        <sz val="12"/>
        <color rgb="FF000000"/>
        <rFont val="Arial"/>
      </rPr>
      <t xml:space="preserve">PWD, Youth, IP
</t>
    </r>
    <r>
      <rPr>
        <sz val="12"/>
        <color rgb="FF000000"/>
        <rFont val="Arial"/>
      </rPr>
      <t xml:space="preserve">
Write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not applicable to any sector. 
Place comma if applicable to more than one sector (e.g., PWD,Youth)</t>
    </r>
  </si>
  <si>
    <r>
      <rPr>
        <sz val="12"/>
        <color rgb="FF000000"/>
        <rFont val="Arial"/>
      </rPr>
      <t xml:space="preserve">numeric. include four decimal places (e.g., </t>
    </r>
    <r>
      <rPr>
        <b/>
        <sz val="12"/>
        <color rgb="FF000000"/>
        <rFont val="Arial"/>
      </rPr>
      <t>1.0000</t>
    </r>
    <r>
      <rPr>
        <sz val="12"/>
        <color rgb="FF000000"/>
        <rFont val="Arial"/>
      </rPr>
      <t xml:space="preserve">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</si>
  <si>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Cacao Seedlings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</si>
  <si>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</si>
  <si>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</si>
  <si>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Full 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</si>
  <si>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 xml:space="preserve">NA </t>
    </r>
    <r>
      <rPr>
        <sz val="12"/>
        <color rgb="FF000000"/>
        <rFont val="Arial"/>
      </rPr>
      <t>if farm expansion  is not part of the MG assistance to be received by FO</t>
    </r>
  </si>
  <si>
    <r>
      <rPr>
        <sz val="12"/>
        <color rgb="FF000000"/>
        <rFont val="Arial"/>
      </rPr>
      <t xml:space="preserve">Full 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</si>
  <si>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not applicable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</si>
  <si>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</si>
  <si>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</si>
  <si>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</si>
  <si>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
Specific designation,&lt;space&gt;agency/office
e.g., </t>
    </r>
    <r>
      <rPr>
        <b/>
        <sz val="12"/>
        <color rgb="FF000000"/>
        <rFont val="Arial"/>
      </rPr>
      <t>STIDS, Department of Agriculture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</si>
  <si>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</si>
  <si>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</si>
  <si>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</si>
  <si>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
Provide notes and 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</si>
  <si>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numeric. include four decimal places (e.g., </t>
    </r>
    <r>
      <rPr>
        <b/>
        <sz val="12"/>
        <color rgb="FF000000"/>
        <rFont val="Arial"/>
      </rPr>
      <t>1.0000</t>
    </r>
    <r>
      <rPr>
        <sz val="12"/>
        <color rgb="FF000000"/>
        <rFont val="Arial"/>
      </rPr>
      <t xml:space="preserve">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intensification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</si>
  <si>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Cacao Seedlings</t>
    </r>
    <r>
      <rPr>
        <sz val="12"/>
        <color rgb="FF000000"/>
        <rFont val="Arial"/>
      </rPr>
      <t xml:space="preserve">
Indicate NA if farm intensification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</si>
  <si>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NA if farm intensification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</si>
  <si>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NA if farm intensification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</si>
  <si>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</si>
  <si>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</si>
  <si>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</si>
  <si>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</si>
  <si>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</si>
  <si>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</si>
  <si>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</si>
  <si>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
Specific designation,&lt;space&gt;agency/office
e.g., </t>
    </r>
    <r>
      <rPr>
        <b/>
        <sz val="12"/>
        <color rgb="FF000000"/>
        <rFont val="Arial"/>
      </rPr>
      <t xml:space="preserve">STIDS, Department of Agriculture
</t>
    </r>
    <r>
      <rPr>
        <sz val="12"/>
        <color rgb="FF000000"/>
        <rFont val="Arial"/>
      </rPr>
      <t xml:space="preserve">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</si>
  <si>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</si>
  <si>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</si>
  <si>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</si>
  <si>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
Provide notes.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</si>
  <si>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Total farm area that will be rehabilitated through the MG assistance/inputs
Indicate </t>
    </r>
    <r>
      <rPr>
        <b/>
        <sz val="12"/>
        <color rgb="FF000000"/>
        <rFont val="Arial (Body)"/>
      </rPr>
      <t>NA</t>
    </r>
    <r>
      <rPr>
        <sz val="12"/>
        <color rgb="FF000000"/>
        <rFont val="Arial (Body)"/>
      </rPr>
      <t xml:space="preserve"> if farm rehabilitation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</si>
  <si>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Pruning Shears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
add comma for multiple entries 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</si>
  <si>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</si>
  <si>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</si>
  <si>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</si>
  <si>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</si>
  <si>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</si>
  <si>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</si>
  <si>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</si>
  <si>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farmer</t>
    </r>
  </si>
  <si>
    <r>
      <rPr>
        <sz val="12"/>
        <color rgb="FF000000"/>
        <rFont val="Arial"/>
      </rPr>
      <t xml:space="preserve">Year-month-day 
e.g..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e.g., </t>
    </r>
    <r>
      <rPr>
        <b/>
        <sz val="12"/>
        <color rgb="FF000000"/>
        <rFont val="Arial"/>
      </rPr>
      <t>2023-01-09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</t>
    </r>
  </si>
  <si>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 is not part of the MG assistance o be received by farmer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</si>
  <si>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Wing Van Vehicle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</si>
  <si>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</si>
  <si>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</si>
  <si>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</si>
  <si>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</si>
  <si>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</si>
  <si>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</si>
  <si>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</si>
  <si>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 is not part of the MG assistance to be received by farmer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</si>
  <si>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 is not part of the MG assistance to be received by farmer</t>
    </r>
  </si>
  <si>
    <r>
      <rPr>
        <sz val="12"/>
        <color rgb="FF000000"/>
        <rFont val="Arial"/>
      </rPr>
      <t xml:space="preserve">
e.g., increased income due to increased frequency and volume of collecting/selling of whole nuts through the use of the vehicle;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is not part of the MG assistance to be received by farmer</t>
    </r>
  </si>
  <si>
    <t xml:space="preserve">Reference: MG Implementation Forms  </t>
  </si>
  <si>
    <t xml:space="preserve">Reference Documents: Inputs to these columns should be consistent with the data from the following forms: (1) Profile Form B for Farmer Organizations (2) MGI Form 2_Delivery Validation for Expansion/Intensification; (3) MGI Form 6_Delivery Validation for Rehabilitation; and (4) MGI Form 9_Delivery Validation of Productive Investments
</t>
  </si>
  <si>
    <t xml:space="preserve">MGI Form 1_Farmer Validation for Expansion/Intensification </t>
  </si>
  <si>
    <t>Davao del Sur</t>
  </si>
  <si>
    <t>R11_DIP of CNT Trading and Auro Davao Cacao Supply Chains in Davao del Sur</t>
  </si>
  <si>
    <t>Kiblawan Multi-Purpose Cooperative (KMPC)-MSME</t>
  </si>
  <si>
    <t>Kiblawan</t>
  </si>
  <si>
    <t>Jesus</t>
  </si>
  <si>
    <t>Heliane</t>
  </si>
  <si>
    <t xml:space="preserve">2023-07-12, 2023-08-10 &amp; 2023-11-28 </t>
  </si>
  <si>
    <t>Malawanit Farmers Marketing Cooperative (MAFAMCO) - MSME</t>
  </si>
  <si>
    <t>Magsaysay</t>
  </si>
  <si>
    <t>Malawanit</t>
  </si>
  <si>
    <t xml:space="preserve">Bernandina </t>
  </si>
  <si>
    <t>Belontidos</t>
  </si>
  <si>
    <t>2023-05-16, 2023-08-18 &amp; 2024-01-09</t>
  </si>
  <si>
    <t>San Isidro Small Farmers Association (SISFA)-FO</t>
  </si>
  <si>
    <t xml:space="preserve">Romeo </t>
  </si>
  <si>
    <t>Bayking</t>
  </si>
  <si>
    <t>Bagong Negros Integrated Society Forestry Association of Kiblawan Inc. (BANISFAKI)-FO</t>
  </si>
  <si>
    <t>Bagong Negros</t>
  </si>
  <si>
    <t xml:space="preserve">David </t>
  </si>
  <si>
    <t xml:space="preserve">M. </t>
  </si>
  <si>
    <t>Bongaitan Jr.</t>
  </si>
  <si>
    <t>San Juan Agroforestry Farmers Association (SJAFA)-FO</t>
  </si>
  <si>
    <t>San Juan</t>
  </si>
  <si>
    <t>Hernando</t>
  </si>
  <si>
    <t>Almodiel</t>
  </si>
  <si>
    <t>Ihan Farmers Association (IFA)-FO</t>
  </si>
  <si>
    <t>Ihan</t>
  </si>
  <si>
    <t xml:space="preserve">Lucila </t>
  </si>
  <si>
    <t>Cejas</t>
  </si>
  <si>
    <t>Dapok Coco Farmers Association (DCFA)-FO</t>
  </si>
  <si>
    <t>Dapok</t>
  </si>
  <si>
    <t xml:space="preserve">Reymundo </t>
  </si>
  <si>
    <t>Sambilad</t>
  </si>
  <si>
    <t>Lawayan Integrated Farmers association (LIFA)-FO</t>
  </si>
  <si>
    <t>Lawayan</t>
  </si>
  <si>
    <t>Carmelito</t>
  </si>
  <si>
    <t xml:space="preserve"> Aquino</t>
  </si>
  <si>
    <t>Pasig Farmers Association (PFA)-FO</t>
  </si>
  <si>
    <t>Pasig</t>
  </si>
  <si>
    <t xml:space="preserve">Rustico </t>
  </si>
  <si>
    <t>Pelonio</t>
  </si>
  <si>
    <t>Kiblawan United Cacao Growers Producers Association (KUCAGROPA)-FO</t>
  </si>
  <si>
    <t>Litauro</t>
  </si>
  <si>
    <t>Gallardo</t>
  </si>
  <si>
    <t>II</t>
  </si>
  <si>
    <t>Poblacion Kiblawan Small Coconut Farmers Association (POKISCOFA)-FO</t>
  </si>
  <si>
    <t xml:space="preserve">Felix </t>
  </si>
  <si>
    <t>Caparida</t>
  </si>
  <si>
    <t>Panaglib Integrated Farmers Association (PIFA)-FO</t>
  </si>
  <si>
    <t>Panaglib</t>
  </si>
  <si>
    <t>Loreto</t>
  </si>
  <si>
    <t>Silos</t>
  </si>
  <si>
    <t>Maraga-a Integrated Farmers Association (MARUFAS)-FO</t>
  </si>
  <si>
    <t>Maraga-a</t>
  </si>
  <si>
    <t>Cristina</t>
  </si>
  <si>
    <t>Nugas</t>
  </si>
  <si>
    <t>Bagumbayan Farmers Association (BFA)-FO</t>
  </si>
  <si>
    <t>Bagumbayan</t>
  </si>
  <si>
    <r>
      <rPr>
        <sz val="12"/>
        <color rgb="FF000000"/>
        <rFont val="Arial"/>
      </rPr>
      <t xml:space="preserve">Full Name of Province (e.g., Davao del Sur)
Indicate </t>
    </r>
    <r>
      <rPr>
        <b/>
        <sz val="12"/>
        <color rgb="FF000000"/>
        <rFont val="Arial"/>
      </rPr>
      <t>NA,</t>
    </r>
    <r>
      <rPr>
        <sz val="12"/>
        <color rgb="FF000000"/>
        <rFont val="Arial"/>
      </rPr>
      <t xml:space="preserve"> for DIPs implemented by the Region</t>
    </r>
  </si>
  <si>
    <r>
      <rPr>
        <sz val="12"/>
        <color rgb="FF000000"/>
        <rFont val="Arial"/>
      </rPr>
      <t xml:space="preserve">Reflect full name of coop or FO based on official registration name; and should be consistent with FO name indicated in Profile Forms A and B ;
e.g., </t>
    </r>
    <r>
      <rPr>
        <b/>
        <sz val="12"/>
        <color rgb="FF000000"/>
        <rFont val="Arial"/>
      </rPr>
      <t xml:space="preserve">Mamangan Farmers Organization
</t>
    </r>
    <r>
      <rPr>
        <sz val="12"/>
        <color rgb="FF000000"/>
        <rFont val="Arial"/>
      </rPr>
      <t xml:space="preserve">
 If respondent is individual farmer indicate </t>
    </r>
    <r>
      <rPr>
        <b/>
        <sz val="12"/>
        <color rgb="FF000000"/>
        <rFont val="Arial"/>
      </rPr>
      <t>Non-FO member</t>
    </r>
  </si>
  <si>
    <r>
      <rPr>
        <sz val="12"/>
        <color rgb="FF000000"/>
        <rFont val="Arial"/>
      </rPr>
      <t xml:space="preserve">Numerical except for BARMM:   </t>
    </r>
    <r>
      <rPr>
        <b/>
        <sz val="12"/>
        <color rgb="FF000000"/>
        <rFont val="Arial"/>
      </rPr>
      <t>8,9,10,11,12,13,BARMM</t>
    </r>
  </si>
  <si>
    <r>
      <rPr>
        <sz val="12"/>
        <color rgb="FF000000"/>
        <rFont val="Arial"/>
      </rPr>
      <t xml:space="preserve">Full name of province (e.g., </t>
    </r>
    <r>
      <rPr>
        <b/>
        <sz val="12"/>
        <color rgb="FF000000"/>
        <rFont val="Arial"/>
      </rPr>
      <t>Davao del Sur</t>
    </r>
    <r>
      <rPr>
        <sz val="12"/>
        <color rgb="FF000000"/>
        <rFont val="Arial"/>
      </rPr>
      <t>)</t>
    </r>
  </si>
  <si>
    <r>
      <rPr>
        <sz val="12"/>
        <color rgb="FF000000"/>
        <rFont val="Arial"/>
      </rPr>
      <t xml:space="preserve">Full name of City/Municipality (e.g., </t>
    </r>
    <r>
      <rPr>
        <b/>
        <sz val="12"/>
        <color rgb="FF000000"/>
        <rFont val="Arial"/>
      </rPr>
      <t>Davao City, Kapalong</t>
    </r>
    <r>
      <rPr>
        <sz val="12"/>
        <color rgb="FF000000"/>
        <rFont val="Arial"/>
      </rPr>
      <t>)</t>
    </r>
  </si>
  <si>
    <r>
      <rPr>
        <sz val="12"/>
        <color rgb="FF000000"/>
        <rFont val="Arial"/>
      </rPr>
      <t xml:space="preserve">
Indicate full Brgy. Name
e.g.. </t>
    </r>
    <r>
      <rPr>
        <b/>
        <sz val="12"/>
        <color rgb="FF000000"/>
        <rFont val="Arial"/>
      </rPr>
      <t>Mintal</t>
    </r>
  </si>
  <si>
    <r>
      <rPr>
        <sz val="12"/>
        <color rgb="FF000000"/>
        <rFont val="Arial"/>
      </rPr>
      <t xml:space="preserve">Full name of street/sitio/Prk.
e.g., </t>
    </r>
    <r>
      <rPr>
        <b/>
        <sz val="12"/>
        <color rgb="FF000000"/>
        <rFont val="Arial"/>
      </rPr>
      <t>Trevally St. Sitio Pogi, Prk. 4A</t>
    </r>
    <r>
      <rPr>
        <sz val="12"/>
        <color rgb="FF000000"/>
        <rFont val="Arial"/>
      </rPr>
      <t xml:space="preserve">
</t>
    </r>
  </si>
  <si>
    <r>
      <rPr>
        <sz val="12"/>
        <color rgb="FF000000"/>
        <rFont val="Arial"/>
      </rPr>
      <t xml:space="preserve">Full 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>). First letter should be capital.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</si>
  <si>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>). First letter should be capital.</t>
    </r>
  </si>
  <si>
    <r>
      <rPr>
        <sz val="12"/>
        <color rgb="FF000000"/>
        <rFont val="Arial"/>
      </rPr>
      <t xml:space="preserve">Full 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>. First letter should be capital.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</si>
  <si>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not applicable</t>
    </r>
  </si>
  <si>
    <r>
      <rPr>
        <sz val="12"/>
        <color rgb="FF000000"/>
        <rFont val="Arial"/>
      </rPr>
      <t xml:space="preserve">Options: </t>
    </r>
    <r>
      <rPr>
        <b/>
        <sz val="12"/>
        <color rgb="FF000000"/>
        <rFont val="Arial"/>
      </rPr>
      <t xml:space="preserve">Female or Male
</t>
    </r>
    <r>
      <rPr>
        <sz val="12"/>
        <color rgb="FF000000"/>
        <rFont val="Arial"/>
      </rPr>
      <t xml:space="preserve"> First letter should be capital</t>
    </r>
  </si>
  <si>
    <r>
      <rPr>
        <sz val="12"/>
        <color rgb="FF000000"/>
        <rFont val="Arial"/>
      </rPr>
      <t xml:space="preserve">Options: </t>
    </r>
    <r>
      <rPr>
        <b/>
        <sz val="12"/>
        <color rgb="FF000000"/>
        <rFont val="Arial"/>
      </rPr>
      <t xml:space="preserve">PWD, Youth, IP
</t>
    </r>
    <r>
      <rPr>
        <sz val="12"/>
        <color rgb="FF000000"/>
        <rFont val="Arial"/>
      </rPr>
      <t xml:space="preserve">
Write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not applicable to any sector. 
Place comma if applicable to more than one sector (e.g., PWD,Youth)</t>
    </r>
  </si>
  <si>
    <r>
      <rPr>
        <sz val="12"/>
        <color rgb="FF000000"/>
        <rFont val="Arial"/>
      </rPr>
      <t xml:space="preserve">numeric. include four decimal places (e.g., </t>
    </r>
    <r>
      <rPr>
        <b/>
        <sz val="12"/>
        <color rgb="FF000000"/>
        <rFont val="Arial"/>
      </rPr>
      <t>1.0000</t>
    </r>
    <r>
      <rPr>
        <sz val="12"/>
        <color rgb="FF000000"/>
        <rFont val="Arial"/>
      </rPr>
      <t xml:space="preserve">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</si>
  <si>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Cacao Seedlings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</si>
  <si>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</si>
  <si>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</si>
  <si>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Full 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</si>
  <si>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 xml:space="preserve">NA </t>
    </r>
    <r>
      <rPr>
        <sz val="12"/>
        <color rgb="FF000000"/>
        <rFont val="Arial"/>
      </rPr>
      <t>if farm expansion  is not part of the MG assistance to be received by FO</t>
    </r>
  </si>
  <si>
    <r>
      <rPr>
        <sz val="12"/>
        <color rgb="FF000000"/>
        <rFont val="Arial"/>
      </rPr>
      <t xml:space="preserve">Full 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</si>
  <si>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not applicable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</si>
  <si>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</si>
  <si>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</si>
  <si>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</si>
  <si>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
Specific designation,&lt;space&gt;agency/office
e.g., </t>
    </r>
    <r>
      <rPr>
        <b/>
        <sz val="12"/>
        <color rgb="FF000000"/>
        <rFont val="Arial"/>
      </rPr>
      <t>STIDS, Department of Agriculture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</si>
  <si>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</si>
  <si>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</si>
  <si>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is not part of the MG assistance to be received by FO</t>
    </r>
  </si>
  <si>
    <r>
      <rPr>
        <sz val="12"/>
        <color rgb="FF000000"/>
        <rFont val="Arial"/>
      </rPr>
      <t xml:space="preserve">
Provide notes and 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expansion  is not part of the MG assistance to be received by FO</t>
    </r>
  </si>
  <si>
    <r>
      <rPr>
        <sz val="12"/>
        <color rgb="FF000000"/>
        <rFont val="Arial"/>
      </rPr>
      <t xml:space="preserve">numeric. include four decimal places (e.g., </t>
    </r>
    <r>
      <rPr>
        <b/>
        <sz val="12"/>
        <color rgb="FF000000"/>
        <rFont val="Arial"/>
      </rPr>
      <t>1.0000</t>
    </r>
    <r>
      <rPr>
        <sz val="12"/>
        <color rgb="FF000000"/>
        <rFont val="Arial"/>
      </rPr>
      <t xml:space="preserve">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intensification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</si>
  <si>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Cacao Seedlings</t>
    </r>
    <r>
      <rPr>
        <sz val="12"/>
        <color rgb="FF000000"/>
        <rFont val="Arial"/>
      </rPr>
      <t xml:space="preserve">
Indicate NA if farm intensification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</si>
  <si>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NA if farm intensification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</si>
  <si>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NA if farm intensification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</si>
  <si>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</si>
  <si>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</si>
  <si>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</si>
  <si>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</si>
  <si>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</si>
  <si>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</si>
  <si>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</si>
  <si>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
Specific designation,&lt;space&gt;agency/office
e.g., </t>
    </r>
    <r>
      <rPr>
        <b/>
        <sz val="12"/>
        <color rgb="FF000000"/>
        <rFont val="Arial"/>
      </rPr>
      <t xml:space="preserve">STIDS, Department of Agriculture
</t>
    </r>
    <r>
      <rPr>
        <sz val="12"/>
        <color rgb="FF000000"/>
        <rFont val="Arial"/>
      </rPr>
      <t xml:space="preserve">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</si>
  <si>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</si>
  <si>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</si>
  <si>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is not part of the MG assistance to be received by FO</t>
    </r>
  </si>
  <si>
    <r>
      <rPr>
        <sz val="12"/>
        <color rgb="FF000000"/>
        <rFont val="Arial"/>
      </rPr>
      <t xml:space="preserve">
Provide notes.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intensifcation  is not part of the MG assistance to be received by FO</t>
    </r>
  </si>
  <si>
    <r>
      <rPr>
        <sz val="12"/>
        <color rgb="FF000000"/>
        <rFont val="Arial"/>
      </rPr>
      <t xml:space="preserve">Total farm area that will be rehabilitated through the MG assistance/inputs
Indicate </t>
    </r>
    <r>
      <rPr>
        <b/>
        <sz val="12"/>
        <color rgb="FF000000"/>
        <rFont val="Arial (Body)"/>
      </rPr>
      <t>NA</t>
    </r>
    <r>
      <rPr>
        <sz val="12"/>
        <color rgb="FF000000"/>
        <rFont val="Arial (Body)"/>
      </rPr>
      <t xml:space="preserve"> if farm rehabilitation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</si>
  <si>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Pruning Shears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
add comma for multiple entries 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</si>
  <si>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</si>
  <si>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</si>
  <si>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</si>
  <si>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</si>
  <si>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</si>
  <si>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</si>
  <si>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</si>
  <si>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 to be received by farmer</t>
    </r>
  </si>
  <si>
    <r>
      <rPr>
        <sz val="12"/>
        <color rgb="FF000000"/>
        <rFont val="Arial"/>
      </rPr>
      <t xml:space="preserve">Year-month-day 
e.g..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e.g., </t>
    </r>
    <r>
      <rPr>
        <b/>
        <sz val="12"/>
        <color rgb="FF000000"/>
        <rFont val="Arial"/>
      </rPr>
      <t>2023-01-09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is not part of the MG assistance</t>
    </r>
  </si>
  <si>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farm rehabilitation  is not part of the MG assistance o be received by farmer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</si>
  <si>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Wing Van Vehicle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</si>
  <si>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Whole number 
e.g., </t>
    </r>
    <r>
      <rPr>
        <b/>
        <sz val="12"/>
        <color rgb="FF000000"/>
        <rFont val="Arial"/>
      </rPr>
      <t xml:space="preserve">500
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</si>
  <si>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add 0 before numerals 1 to 9 (e.g., 2023-01-09)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</si>
  <si>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First Name (e.g., </t>
    </r>
    <r>
      <rPr>
        <b/>
        <sz val="12"/>
        <color rgb="FF000000"/>
        <rFont val="Arial"/>
      </rPr>
      <t>Nadine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</si>
  <si>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Full middle name  (e.g., </t>
    </r>
    <r>
      <rPr>
        <b/>
        <sz val="12"/>
        <color rgb="FF000000"/>
        <rFont val="Arial"/>
      </rPr>
      <t xml:space="preserve">Lustre </t>
    </r>
    <r>
      <rPr>
        <sz val="12"/>
        <color rgb="FF000000"/>
        <rFont val="Arial"/>
      </rPr>
      <t xml:space="preserve">).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is not part of the MG assistance to be received by FO</t>
    </r>
  </si>
  <si>
    <r>
      <rPr>
        <sz val="12"/>
        <color rgb="FF000000"/>
        <rFont val="Arial"/>
      </rPr>
      <t xml:space="preserve">Last name (e.g., </t>
    </r>
    <r>
      <rPr>
        <b/>
        <sz val="12"/>
        <color rgb="FF000000"/>
        <rFont val="Arial"/>
      </rPr>
      <t>Reid)</t>
    </r>
    <r>
      <rPr>
        <sz val="12"/>
        <color rgb="FF000000"/>
        <rFont val="Arial"/>
      </rPr>
      <t xml:space="preserve">. First letter should be capital.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</si>
  <si>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Jr., Sr.; III; II</t>
    </r>
    <r>
      <rPr>
        <sz val="12"/>
        <color rgb="FF000000"/>
        <rFont val="Arial"/>
      </rPr>
      <t xml:space="preserve"> (roman numeral)
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no extension name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</si>
  <si>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e.g., </t>
    </r>
    <r>
      <rPr>
        <b/>
        <sz val="12"/>
        <color rgb="FF000000"/>
        <rFont val="Arial"/>
      </rPr>
      <t>Chairperson, Secretary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  is not part of the MG assistance to be received by FO</t>
    </r>
  </si>
  <si>
    <r>
      <rPr>
        <sz val="12"/>
        <color rgb="FF000000"/>
        <rFont val="Arial"/>
      </rPr>
      <t xml:space="preserve">Family Name,&lt;space&gt;First Name&lt;space&gt;Middle Initial.
e.g., </t>
    </r>
    <r>
      <rPr>
        <b/>
        <sz val="12"/>
        <color rgb="FF000000"/>
        <rFont val="Arial"/>
      </rPr>
      <t xml:space="preserve">Reid, Nadine L. 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 is not part of the MG assistance to be received by farmer</t>
    </r>
  </si>
  <si>
    <r>
      <rPr>
        <sz val="12"/>
        <color rgb="FF000000"/>
        <rFont val="Arial"/>
      </rPr>
      <t xml:space="preserve">Year-month-day 
e.g., </t>
    </r>
    <r>
      <rPr>
        <b/>
        <sz val="12"/>
        <color rgb="FF000000"/>
        <rFont val="Arial"/>
      </rPr>
      <t>1990-12-25</t>
    </r>
    <r>
      <rPr>
        <sz val="12"/>
        <color rgb="FF000000"/>
        <rFont val="Arial"/>
      </rPr>
      <t xml:space="preserve">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 is not part of the MG assistance to be received by farmer</t>
    </r>
  </si>
  <si>
    <r>
      <rPr>
        <sz val="12"/>
        <color rgb="FF000000"/>
        <rFont val="Arial"/>
      </rPr>
      <t xml:space="preserve">
e.g., increased income due to increased frequency and volume of collecting/selling of whole nuts through the use of the vehicle;
Indicate </t>
    </r>
    <r>
      <rPr>
        <b/>
        <sz val="12"/>
        <color rgb="FF000000"/>
        <rFont val="Arial"/>
      </rPr>
      <t>NA</t>
    </r>
    <r>
      <rPr>
        <sz val="12"/>
        <color rgb="FF000000"/>
        <rFont val="Arial"/>
      </rPr>
      <t xml:space="preserve"> if productive investments is not part of the MG assistance to be received by farmer</t>
    </r>
  </si>
  <si>
    <t>REGION 11</t>
  </si>
  <si>
    <t>DAVAO OCCIDENTAL</t>
  </si>
  <si>
    <t>R11_NUTRARICH</t>
  </si>
  <si>
    <t>CACAO</t>
  </si>
  <si>
    <t>MALITA RURAL WORKERS AGRARIAN BENEFICIARIES MULTIPURPOSE COOPERATIVE (MARWABEMPCO)</t>
  </si>
  <si>
    <t>R11</t>
  </si>
  <si>
    <t>MALITA</t>
  </si>
  <si>
    <t>BRGY. LACARON</t>
  </si>
  <si>
    <t>SITIO KITABAY</t>
  </si>
  <si>
    <t>ROLLY</t>
  </si>
  <si>
    <t>G</t>
  </si>
  <si>
    <t>MAMADA</t>
  </si>
  <si>
    <t>MALE</t>
  </si>
  <si>
    <t>CACAO SEEDLINGS</t>
  </si>
  <si>
    <t>ON-GOING</t>
  </si>
  <si>
    <t>CHAIRPERSON</t>
  </si>
  <si>
    <t>NALLY S. BANGOY</t>
  </si>
  <si>
    <t>16/11/2023</t>
  </si>
  <si>
    <t>MANEJA, BERVIN D. JR.</t>
  </si>
  <si>
    <t>The cooperative is a self-serving type FO with a community based established cacao nursery.</t>
  </si>
  <si>
    <t>Cacao seedlings</t>
  </si>
  <si>
    <t>18,000 Seedlings</t>
  </si>
  <si>
    <t>on-going</t>
  </si>
  <si>
    <t>BANGOY, NALLY S.</t>
  </si>
  <si>
    <t>Provincial Agriculturist</t>
  </si>
  <si>
    <t>R11_BARBCO</t>
  </si>
  <si>
    <t>SOUTHERN DAVAO MULTIPURPOSE COOPERATIVE (SDMC)</t>
  </si>
  <si>
    <t>STA. MARIA</t>
  </si>
  <si>
    <t>BRGY. BASIAWAN</t>
  </si>
  <si>
    <t>SITIO KUMMASSIE</t>
  </si>
  <si>
    <t>PRECIANO</t>
  </si>
  <si>
    <t>E</t>
  </si>
  <si>
    <t>NATAD</t>
  </si>
  <si>
    <t>DONE</t>
  </si>
  <si>
    <t>JONA FLOR C. PALACAY</t>
  </si>
  <si>
    <t>SANCHEZ, CHARISSA LOU A.</t>
  </si>
  <si>
    <t>Done</t>
  </si>
  <si>
    <t>PALACAY, JONA FLOR C.</t>
  </si>
  <si>
    <t>MINI CAHINSAW
PRUNING SHEAR
TOPPING SAW WITH POLE</t>
  </si>
  <si>
    <t>8
164
65</t>
  </si>
  <si>
    <t>UNICARBAI MULTIPURPOSE COOPERATIVE (UMPC)</t>
  </si>
  <si>
    <t>CONRADO</t>
  </si>
  <si>
    <t>B</t>
  </si>
  <si>
    <t>SOTOMAYOR</t>
  </si>
  <si>
    <t>GUADALUPE C. OCIAL</t>
  </si>
  <si>
    <t>21,000 Seedlings</t>
  </si>
  <si>
    <t>OCIAL, GUADALUPE C.</t>
  </si>
  <si>
    <t>6
98
33</t>
  </si>
  <si>
    <t>R11_Regional CoffeeRegional Specialty Coffee DIP</t>
  </si>
  <si>
    <t>COFFEE</t>
  </si>
  <si>
    <t>Solidarity Farmers Association (SOFA)</t>
  </si>
  <si>
    <t>BRGY. LITTLE BAGUIO</t>
  </si>
  <si>
    <t>CENTRO</t>
  </si>
  <si>
    <t>EUCEL</t>
  </si>
  <si>
    <t>PAQUERA</t>
  </si>
  <si>
    <t>Manuel Peralta Farmers Association (MAPFA)</t>
  </si>
  <si>
    <t>BRGY. MANUEL PERALTA</t>
  </si>
  <si>
    <t>NARCISO</t>
  </si>
  <si>
    <t>M</t>
  </si>
  <si>
    <t>MASUPAT</t>
  </si>
  <si>
    <t>Datu Danwata Womens Association (DDWA)</t>
  </si>
  <si>
    <t>BRGY. DATU DANWATA</t>
  </si>
  <si>
    <t>LOLITA</t>
  </si>
  <si>
    <t>D</t>
  </si>
  <si>
    <t>LABIS</t>
  </si>
  <si>
    <t>FEMALE</t>
  </si>
  <si>
    <t>Pangaleon Farmers Association (PFA)</t>
  </si>
  <si>
    <t>BRGY. PANGALEON</t>
  </si>
  <si>
    <t>JERILYN</t>
  </si>
  <si>
    <t>TUMANDAIL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</si>
</sst>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yyyy\-mm\-dd"/>
    <numFmt numFmtId="168" formatCode="mmmm\ d\,yyyy"/>
    <numFmt numFmtId="169" formatCode="mmmm\ d\,\ yyyy"/>
  </numFmts>
  <fonts count="15">
    <font>
      <sz val="10"/>
      <color rgb="FF000000"/>
      <name val="Arial"/>
      <scheme val="minor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0000"/>
      <name val="Arial"/>
    </font>
    <font>
      <sz val="10"/>
      <name val="Arial"/>
    </font>
    <font>
      <b/>
      <sz val="12"/>
      <color theme="1"/>
      <name val="Arial"/>
    </font>
    <font>
      <sz val="12"/>
      <color theme="1"/>
      <name val="Arial"/>
    </font>
    <font>
      <sz val="14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FF0000"/>
      <name val="Arial"/>
    </font>
    <font>
      <sz val="11"/>
      <color theme="1"/>
      <name val="Arial"/>
    </font>
    <font>
      <b/>
      <sz val="12"/>
      <color rgb="FF000000"/>
      <name val="Arial (Body)"/>
    </font>
    <font>
      <sz val="12"/>
      <color rgb="FF000000"/>
      <name val="Arial (Body)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6FC"/>
        <bgColor rgb="FFD9E6FC"/>
      </patternFill>
    </fill>
    <fill>
      <patternFill patternType="solid">
        <fgColor rgb="FFFEF1CC"/>
        <bgColor rgb="FFFEF1CC"/>
      </patternFill>
    </fill>
    <fill>
      <patternFill patternType="solid">
        <fgColor rgb="FFFFE699"/>
        <bgColor rgb="FFFFE699"/>
      </patternFill>
    </fill>
    <fill>
      <patternFill patternType="solid">
        <fgColor rgb="FF0070C0"/>
        <bgColor rgb="FF0070C0"/>
      </patternFill>
    </fill>
    <fill>
      <patternFill patternType="solid">
        <fgColor rgb="FFD9F1F3"/>
        <bgColor rgb="FFD9F1F3"/>
      </patternFill>
    </fill>
    <fill>
      <patternFill patternType="solid">
        <fgColor rgb="FFDAF1F3"/>
        <bgColor rgb="FFDAF1F3"/>
      </patternFill>
    </fill>
    <fill>
      <patternFill patternType="solid">
        <fgColor rgb="FF1C4587"/>
        <bgColor rgb="FF1C4587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5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164" fontId="2" fillId="0" borderId="2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2" fillId="2" borderId="1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2" borderId="15" xfId="0" applyNumberFormat="1" applyFont="1" applyFill="1" applyBorder="1" applyAlignment="1">
      <alignment horizontal="center" vertical="center"/>
    </xf>
    <xf numFmtId="4" fontId="2" fillId="2" borderId="1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8" fillId="0" borderId="5" xfId="0" applyFont="1" applyBorder="1"/>
    <xf numFmtId="0" fontId="2" fillId="4" borderId="2" xfId="0" applyFont="1" applyFill="1" applyBorder="1" applyAlignment="1">
      <alignment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164" fontId="1" fillId="4" borderId="2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8" borderId="22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7" borderId="15" xfId="0" applyFont="1" applyFill="1" applyBorder="1" applyAlignment="1">
      <alignment horizontal="left" vertical="center" wrapText="1"/>
    </xf>
    <xf numFmtId="0" fontId="2" fillId="7" borderId="21" xfId="0" applyFont="1" applyFill="1" applyBorder="1" applyAlignment="1">
      <alignment horizontal="center" vertical="center" wrapText="1"/>
    </xf>
    <xf numFmtId="0" fontId="3" fillId="7" borderId="22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left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7" borderId="14" xfId="0" applyFont="1" applyFill="1" applyBorder="1" applyAlignment="1">
      <alignment horizontal="center" vertical="center" wrapText="1"/>
    </xf>
    <xf numFmtId="0" fontId="9" fillId="7" borderId="25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164" fontId="3" fillId="4" borderId="22" xfId="0" applyNumberFormat="1" applyFont="1" applyFill="1" applyBorder="1" applyAlignment="1">
      <alignment horizontal="center" vertical="center" wrapText="1"/>
    </xf>
    <xf numFmtId="164" fontId="3" fillId="8" borderId="22" xfId="0" applyNumberFormat="1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vertical="center" wrapText="1"/>
    </xf>
    <xf numFmtId="0" fontId="3" fillId="4" borderId="2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vertical="center" wrapText="1"/>
    </xf>
    <xf numFmtId="0" fontId="1" fillId="8" borderId="8" xfId="0" applyFont="1" applyFill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2" fillId="9" borderId="15" xfId="0" applyFont="1" applyFill="1" applyBorder="1" applyAlignment="1">
      <alignment horizontal="center" vertical="center" wrapText="1"/>
    </xf>
    <xf numFmtId="0" fontId="2" fillId="9" borderId="21" xfId="0" applyFont="1" applyFill="1" applyBorder="1" applyAlignment="1">
      <alignment horizontal="center" vertical="center" wrapText="1"/>
    </xf>
    <xf numFmtId="0" fontId="2" fillId="9" borderId="22" xfId="0" applyFont="1" applyFill="1" applyBorder="1" applyAlignment="1">
      <alignment horizontal="center" vertical="center" wrapText="1"/>
    </xf>
    <xf numFmtId="0" fontId="2" fillId="9" borderId="22" xfId="0" applyFont="1" applyFill="1" applyBorder="1" applyAlignment="1">
      <alignment horizontal="left" vertical="center" wrapText="1"/>
    </xf>
    <xf numFmtId="0" fontId="2" fillId="9" borderId="22" xfId="0" applyFont="1" applyFill="1" applyBorder="1" applyAlignment="1">
      <alignment vertical="center" wrapText="1"/>
    </xf>
    <xf numFmtId="164" fontId="2" fillId="9" borderId="22" xfId="0" applyNumberFormat="1" applyFont="1" applyFill="1" applyBorder="1" applyAlignment="1">
      <alignment horizontal="center" vertical="center" wrapText="1"/>
    </xf>
    <xf numFmtId="164" fontId="2" fillId="9" borderId="15" xfId="0" applyNumberFormat="1" applyFont="1" applyFill="1" applyBorder="1" applyAlignment="1">
      <alignment horizontal="center" vertical="center" wrapText="1"/>
    </xf>
    <xf numFmtId="165" fontId="2" fillId="9" borderId="15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4" borderId="27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vertical="center"/>
    </xf>
    <xf numFmtId="0" fontId="1" fillId="3" borderId="23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10" borderId="27" xfId="0" applyFont="1" applyFill="1" applyBorder="1" applyAlignment="1">
      <alignment horizontal="center" vertical="center" wrapText="1"/>
    </xf>
    <xf numFmtId="0" fontId="11" fillId="3" borderId="26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1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1" fillId="3" borderId="7" xfId="0" applyFont="1" applyFill="1" applyBorder="1" applyAlignment="1">
      <alignment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left" vertical="center" wrapText="1"/>
    </xf>
    <xf numFmtId="0" fontId="1" fillId="10" borderId="22" xfId="0" applyFont="1" applyFill="1" applyBorder="1" applyAlignment="1">
      <alignment horizontal="center" vertical="center" wrapText="1"/>
    </xf>
    <xf numFmtId="0" fontId="1" fillId="10" borderId="22" xfId="0" applyFont="1" applyFill="1" applyBorder="1" applyAlignment="1">
      <alignment vertical="center" wrapText="1"/>
    </xf>
    <xf numFmtId="0" fontId="2" fillId="3" borderId="22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165" fontId="10" fillId="0" borderId="0" xfId="0" applyNumberFormat="1" applyFont="1" applyAlignment="1">
      <alignment horizontal="center" vertical="center" wrapText="1"/>
    </xf>
    <xf numFmtId="0" fontId="12" fillId="0" borderId="0" xfId="0" applyFont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20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0" fillId="11" borderId="15" xfId="0" applyFont="1" applyFill="1" applyBorder="1" applyAlignment="1">
      <alignment horizontal="center" vertical="center" wrapText="1"/>
    </xf>
    <xf numFmtId="164" fontId="10" fillId="11" borderId="15" xfId="0" applyNumberFormat="1" applyFont="1" applyFill="1" applyBorder="1" applyAlignment="1">
      <alignment horizontal="center" vertical="center" wrapText="1"/>
    </xf>
    <xf numFmtId="0" fontId="12" fillId="11" borderId="15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vertical="center"/>
    </xf>
    <xf numFmtId="0" fontId="2" fillId="2" borderId="21" xfId="0" applyFont="1" applyFill="1" applyBorder="1" applyAlignment="1">
      <alignment horizontal="left" vertical="center"/>
    </xf>
    <xf numFmtId="0" fontId="2" fillId="3" borderId="15" xfId="0" applyFont="1" applyFill="1" applyBorder="1" applyAlignment="1">
      <alignment horizontal="left" vertical="center"/>
    </xf>
    <xf numFmtId="0" fontId="2" fillId="3" borderId="21" xfId="0" applyFont="1" applyFill="1" applyBorder="1" applyAlignment="1">
      <alignment horizontal="left" vertical="center"/>
    </xf>
    <xf numFmtId="0" fontId="2" fillId="4" borderId="21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vertical="center"/>
    </xf>
    <xf numFmtId="0" fontId="2" fillId="4" borderId="22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3" fontId="2" fillId="0" borderId="1" xfId="0" applyNumberFormat="1" applyFont="1" applyBorder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169" fontId="2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1" fillId="4" borderId="3" xfId="0" applyFont="1" applyFill="1" applyBorder="1" applyAlignment="1">
      <alignment horizontal="center" vertical="center" wrapText="1"/>
    </xf>
    <xf numFmtId="0" fontId="4" fillId="0" borderId="5" xfId="0" applyFont="1" applyBorder="1"/>
    <xf numFmtId="0" fontId="4" fillId="0" borderId="6" xfId="0" applyFont="1" applyBorder="1"/>
    <xf numFmtId="0" fontId="1" fillId="3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1" fillId="3" borderId="13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2" fillId="8" borderId="1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 wrapText="1"/>
    </xf>
    <xf numFmtId="0" fontId="1" fillId="4" borderId="28" xfId="0" applyFont="1" applyFill="1" applyBorder="1" applyAlignment="1">
      <alignment horizontal="center" vertical="center" wrapText="1"/>
    </xf>
    <xf numFmtId="0" fontId="4" fillId="0" borderId="29" xfId="0" applyFont="1" applyBorder="1"/>
    <xf numFmtId="0" fontId="4" fillId="0" borderId="30" xfId="0" applyFont="1" applyBorder="1"/>
    <xf numFmtId="0" fontId="2" fillId="0" borderId="13" xfId="0" applyFont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4" fillId="0" borderId="32" xfId="0" applyFont="1" applyBorder="1"/>
    <xf numFmtId="0" fontId="4" fillId="0" borderId="33" xfId="0" applyFont="1" applyBorder="1"/>
    <xf numFmtId="0" fontId="6" fillId="6" borderId="21" xfId="0" applyFont="1" applyFill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 wrapText="1"/>
    </xf>
    <xf numFmtId="0" fontId="5" fillId="6" borderId="22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5" fillId="6" borderId="21" xfId="0" applyFont="1" applyFill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0" fontId="0" fillId="0" borderId="3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971"/>
  <sheetViews>
    <sheetView workbookViewId="0">
      <selection activeCell="F16" sqref="F16"/>
    </sheetView>
  </sheetViews>
  <sheetFormatPr defaultColWidth="12.6640625" defaultRowHeight="15" customHeight="1"/>
  <cols>
    <col min="1" max="1" width="18.6640625" customWidth="1"/>
    <col min="2" max="2" width="7" customWidth="1"/>
    <col min="3" max="3" width="21" customWidth="1"/>
    <col min="4" max="4" width="22" customWidth="1"/>
    <col min="5" max="5" width="36.88671875" customWidth="1"/>
    <col min="6" max="6" width="18.109375" customWidth="1"/>
    <col min="7" max="7" width="61" customWidth="1"/>
    <col min="8" max="8" width="15.44140625" customWidth="1"/>
    <col min="9" max="9" width="19" customWidth="1"/>
    <col min="10" max="10" width="23.109375" customWidth="1"/>
    <col min="11" max="11" width="18.33203125" customWidth="1"/>
    <col min="12" max="12" width="20.33203125" customWidth="1"/>
    <col min="13" max="13" width="17" customWidth="1"/>
    <col min="14" max="14" width="18" customWidth="1"/>
    <col min="15" max="15" width="17.44140625" customWidth="1"/>
    <col min="16" max="16" width="18.109375" customWidth="1"/>
    <col min="17" max="17" width="23.109375" customWidth="1"/>
    <col min="18" max="18" width="25" customWidth="1"/>
    <col min="19" max="19" width="29.33203125" customWidth="1"/>
    <col min="20" max="20" width="31.109375" customWidth="1"/>
    <col min="21" max="22" width="25.109375" customWidth="1"/>
    <col min="23" max="23" width="24.44140625" customWidth="1"/>
    <col min="24" max="24" width="20.44140625" customWidth="1"/>
    <col min="25" max="25" width="21.88671875" customWidth="1"/>
    <col min="26" max="26" width="25" customWidth="1"/>
    <col min="27" max="27" width="24.109375" customWidth="1"/>
    <col min="28" max="28" width="24.88671875" customWidth="1"/>
    <col min="29" max="29" width="24" customWidth="1"/>
    <col min="30" max="30" width="20.6640625" customWidth="1"/>
    <col min="31" max="31" width="24.109375" customWidth="1"/>
    <col min="32" max="32" width="27.88671875" customWidth="1"/>
    <col min="33" max="33" width="24.88671875" customWidth="1"/>
    <col min="34" max="34" width="32.109375" customWidth="1"/>
    <col min="35" max="35" width="33.88671875" customWidth="1"/>
    <col min="36" max="36" width="31.109375" customWidth="1"/>
    <col min="37" max="38" width="25.109375" customWidth="1"/>
    <col min="39" max="39" width="24.109375" customWidth="1"/>
    <col min="40" max="40" width="23.6640625" customWidth="1"/>
    <col min="41" max="41" width="26.33203125" customWidth="1"/>
    <col min="42" max="42" width="25" customWidth="1"/>
    <col min="43" max="43" width="25.33203125" customWidth="1"/>
    <col min="44" max="44" width="25.88671875" customWidth="1"/>
    <col min="45" max="45" width="27.109375" customWidth="1"/>
    <col min="46" max="46" width="25.88671875" customWidth="1"/>
    <col min="47" max="47" width="24.109375" customWidth="1"/>
    <col min="48" max="48" width="29.6640625" customWidth="1"/>
    <col min="49" max="49" width="24.88671875" customWidth="1"/>
    <col min="50" max="50" width="32.109375" customWidth="1"/>
    <col min="51" max="52" width="15.6640625" customWidth="1"/>
    <col min="53" max="53" width="10.109375" customWidth="1"/>
    <col min="54" max="57" width="15.6640625" customWidth="1"/>
    <col min="58" max="60" width="25.109375" customWidth="1"/>
    <col min="61" max="61" width="24.109375" customWidth="1"/>
    <col min="62" max="62" width="23.6640625" customWidth="1"/>
    <col min="63" max="63" width="26.33203125" customWidth="1"/>
    <col min="64" max="64" width="25" customWidth="1"/>
    <col min="65" max="65" width="25.33203125" customWidth="1"/>
    <col min="66" max="66" width="27.88671875" customWidth="1"/>
    <col min="67" max="67" width="24.88671875" customWidth="1"/>
    <col min="68" max="68" width="36.44140625" customWidth="1"/>
    <col min="69" max="69" width="31.109375" customWidth="1"/>
    <col min="70" max="70" width="25.109375" customWidth="1"/>
    <col min="71" max="73" width="17.6640625" customWidth="1"/>
    <col min="74" max="80" width="15.77734375" customWidth="1"/>
    <col min="81" max="81" width="19.88671875" customWidth="1"/>
  </cols>
  <sheetData>
    <row r="1" spans="1:8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3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4"/>
      <c r="BQ1" s="2"/>
      <c r="BR1" s="2"/>
      <c r="BS1" s="2"/>
      <c r="BT1" s="2"/>
      <c r="BU1" s="2"/>
      <c r="BV1" s="2"/>
      <c r="BW1" s="2"/>
      <c r="BX1" s="2"/>
      <c r="BY1" s="2"/>
      <c r="BZ1" s="2"/>
      <c r="CA1" s="4"/>
      <c r="CB1" s="4"/>
      <c r="CC1" s="4"/>
    </row>
    <row r="2" spans="1:81" ht="15.7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3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4"/>
      <c r="BQ2" s="2"/>
      <c r="BR2" s="2"/>
      <c r="BS2" s="2"/>
      <c r="BT2" s="2"/>
      <c r="BU2" s="2"/>
      <c r="BV2" s="2"/>
      <c r="BW2" s="2"/>
      <c r="BX2" s="2"/>
      <c r="BY2" s="2"/>
      <c r="BZ2" s="2"/>
      <c r="CA2" s="4"/>
      <c r="CB2" s="4"/>
      <c r="CC2" s="4"/>
    </row>
    <row r="3" spans="1:81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3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4"/>
      <c r="BQ3" s="2"/>
      <c r="BR3" s="2"/>
      <c r="BS3" s="2"/>
      <c r="BT3" s="2"/>
      <c r="BU3" s="2"/>
      <c r="BV3" s="2"/>
      <c r="BW3" s="2"/>
      <c r="BX3" s="2"/>
      <c r="BY3" s="2"/>
      <c r="BZ3" s="2"/>
      <c r="CA3" s="4"/>
      <c r="CB3" s="4"/>
      <c r="CC3" s="4"/>
    </row>
    <row r="4" spans="1:81" ht="15.75" customHeight="1">
      <c r="A4" s="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3"/>
      <c r="AY4" s="5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4"/>
      <c r="BQ4" s="2"/>
      <c r="BR4" s="2"/>
      <c r="BS4" s="2"/>
      <c r="BT4" s="2"/>
      <c r="BU4" s="2"/>
      <c r="BV4" s="2"/>
      <c r="BW4" s="2"/>
      <c r="BX4" s="2"/>
      <c r="BY4" s="2"/>
      <c r="BZ4" s="2"/>
      <c r="CA4" s="4"/>
      <c r="CB4" s="4"/>
      <c r="CC4" s="4"/>
    </row>
    <row r="5" spans="1:81" ht="34.5" customHeight="1">
      <c r="A5" s="6"/>
      <c r="B5" s="7"/>
      <c r="C5" s="166" t="s">
        <v>3</v>
      </c>
      <c r="D5" s="167"/>
      <c r="E5" s="168" t="s">
        <v>4</v>
      </c>
      <c r="F5" s="167"/>
      <c r="G5" s="166" t="s">
        <v>5</v>
      </c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7"/>
      <c r="S5" s="168" t="s">
        <v>6</v>
      </c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9"/>
      <c r="AI5" s="169"/>
      <c r="AJ5" s="169"/>
      <c r="AK5" s="169"/>
      <c r="AL5" s="169"/>
      <c r="AM5" s="169"/>
      <c r="AN5" s="169"/>
      <c r="AO5" s="167"/>
      <c r="AP5" s="166" t="s">
        <v>7</v>
      </c>
      <c r="AQ5" s="169"/>
      <c r="AR5" s="169"/>
      <c r="AS5" s="169"/>
      <c r="AT5" s="169"/>
      <c r="AU5" s="169"/>
      <c r="AV5" s="169"/>
      <c r="AW5" s="169"/>
      <c r="AX5" s="169"/>
      <c r="AY5" s="169"/>
      <c r="AZ5" s="169"/>
      <c r="BA5" s="169"/>
      <c r="BB5" s="169"/>
      <c r="BC5" s="169"/>
      <c r="BD5" s="169"/>
      <c r="BE5" s="170"/>
      <c r="BF5" s="8"/>
      <c r="BG5" s="8"/>
      <c r="BH5" s="8"/>
      <c r="BI5" s="8"/>
      <c r="BJ5" s="8"/>
      <c r="BK5" s="168" t="s">
        <v>8</v>
      </c>
      <c r="BL5" s="169"/>
      <c r="BM5" s="169"/>
      <c r="BN5" s="169"/>
      <c r="BO5" s="169"/>
      <c r="BP5" s="169"/>
      <c r="BQ5" s="170"/>
      <c r="BR5" s="9"/>
      <c r="BS5" s="10"/>
      <c r="BT5" s="10"/>
      <c r="BU5" s="10"/>
      <c r="BV5" s="166" t="s">
        <v>9</v>
      </c>
      <c r="BW5" s="169"/>
      <c r="BX5" s="169"/>
      <c r="BY5" s="169"/>
      <c r="BZ5" s="169"/>
      <c r="CA5" s="169"/>
      <c r="CB5" s="169"/>
      <c r="CC5" s="167"/>
    </row>
    <row r="6" spans="1:81" ht="54.75" customHeight="1">
      <c r="A6" s="11"/>
      <c r="B6" s="12" t="s">
        <v>10</v>
      </c>
      <c r="C6" s="12" t="s">
        <v>11</v>
      </c>
      <c r="D6" s="12" t="s">
        <v>12</v>
      </c>
      <c r="E6" s="13" t="s">
        <v>13</v>
      </c>
      <c r="F6" s="13" t="s">
        <v>14</v>
      </c>
      <c r="G6" s="12" t="s">
        <v>15</v>
      </c>
      <c r="H6" s="166" t="s">
        <v>16</v>
      </c>
      <c r="I6" s="169"/>
      <c r="J6" s="169"/>
      <c r="K6" s="169"/>
      <c r="L6" s="167"/>
      <c r="M6" s="171" t="s">
        <v>17</v>
      </c>
      <c r="N6" s="172"/>
      <c r="O6" s="172"/>
      <c r="P6" s="172"/>
      <c r="Q6" s="172"/>
      <c r="R6" s="173"/>
      <c r="S6" s="13" t="s">
        <v>18</v>
      </c>
      <c r="T6" s="13" t="s">
        <v>19</v>
      </c>
      <c r="U6" s="13" t="s">
        <v>20</v>
      </c>
      <c r="V6" s="13" t="s">
        <v>21</v>
      </c>
      <c r="W6" s="168" t="s">
        <v>22</v>
      </c>
      <c r="X6" s="169"/>
      <c r="Y6" s="169"/>
      <c r="Z6" s="169"/>
      <c r="AA6" s="167"/>
      <c r="AB6" s="168" t="s">
        <v>23</v>
      </c>
      <c r="AC6" s="169"/>
      <c r="AD6" s="169"/>
      <c r="AE6" s="167"/>
      <c r="AF6" s="176" t="s">
        <v>24</v>
      </c>
      <c r="AG6" s="172"/>
      <c r="AH6" s="173"/>
      <c r="AI6" s="177" t="s">
        <v>25</v>
      </c>
      <c r="AJ6" s="172"/>
      <c r="AK6" s="172"/>
      <c r="AL6" s="173"/>
      <c r="AM6" s="178" t="s">
        <v>26</v>
      </c>
      <c r="AN6" s="169"/>
      <c r="AO6" s="167"/>
      <c r="AP6" s="12" t="s">
        <v>27</v>
      </c>
      <c r="AQ6" s="12" t="s">
        <v>19</v>
      </c>
      <c r="AR6" s="12" t="s">
        <v>20</v>
      </c>
      <c r="AS6" s="12" t="s">
        <v>21</v>
      </c>
      <c r="AT6" s="171" t="s">
        <v>22</v>
      </c>
      <c r="AU6" s="172"/>
      <c r="AV6" s="172"/>
      <c r="AW6" s="172"/>
      <c r="AX6" s="173"/>
      <c r="AY6" s="174" t="s">
        <v>23</v>
      </c>
      <c r="AZ6" s="169"/>
      <c r="BA6" s="169"/>
      <c r="BB6" s="167"/>
      <c r="BC6" s="174" t="s">
        <v>24</v>
      </c>
      <c r="BD6" s="169"/>
      <c r="BE6" s="167"/>
      <c r="BF6" s="13" t="s">
        <v>28</v>
      </c>
      <c r="BG6" s="168" t="s">
        <v>29</v>
      </c>
      <c r="BH6" s="169"/>
      <c r="BI6" s="167"/>
      <c r="BJ6" s="13" t="s">
        <v>21</v>
      </c>
      <c r="BK6" s="168" t="s">
        <v>22</v>
      </c>
      <c r="BL6" s="169"/>
      <c r="BM6" s="169"/>
      <c r="BN6" s="169"/>
      <c r="BO6" s="167"/>
      <c r="BP6" s="175" t="s">
        <v>30</v>
      </c>
      <c r="BQ6" s="169"/>
      <c r="BR6" s="167"/>
      <c r="BS6" s="12" t="s">
        <v>31</v>
      </c>
      <c r="BT6" s="12" t="s">
        <v>20</v>
      </c>
      <c r="BU6" s="12" t="s">
        <v>21</v>
      </c>
      <c r="BV6" s="166" t="s">
        <v>22</v>
      </c>
      <c r="BW6" s="169"/>
      <c r="BX6" s="169"/>
      <c r="BY6" s="169"/>
      <c r="BZ6" s="167"/>
      <c r="CA6" s="166" t="s">
        <v>30</v>
      </c>
      <c r="CB6" s="169"/>
      <c r="CC6" s="167"/>
    </row>
    <row r="7" spans="1:81" ht="57" customHeight="1">
      <c r="A7" s="14"/>
      <c r="B7" s="15"/>
      <c r="C7" s="15"/>
      <c r="D7" s="15"/>
      <c r="E7" s="16"/>
      <c r="F7" s="16"/>
      <c r="G7" s="17"/>
      <c r="H7" s="17" t="s">
        <v>32</v>
      </c>
      <c r="I7" s="17" t="s">
        <v>33</v>
      </c>
      <c r="J7" s="17" t="s">
        <v>34</v>
      </c>
      <c r="K7" s="17" t="s">
        <v>35</v>
      </c>
      <c r="L7" s="17" t="s">
        <v>36</v>
      </c>
      <c r="M7" s="17" t="s">
        <v>37</v>
      </c>
      <c r="N7" s="17" t="s">
        <v>38</v>
      </c>
      <c r="O7" s="12" t="s">
        <v>39</v>
      </c>
      <c r="P7" s="12" t="s">
        <v>40</v>
      </c>
      <c r="Q7" s="12" t="s">
        <v>41</v>
      </c>
      <c r="R7" s="12" t="s">
        <v>42</v>
      </c>
      <c r="S7" s="18"/>
      <c r="T7" s="18"/>
      <c r="U7" s="18"/>
      <c r="V7" s="18"/>
      <c r="W7" s="19" t="s">
        <v>37</v>
      </c>
      <c r="X7" s="13" t="s">
        <v>38</v>
      </c>
      <c r="Y7" s="13" t="s">
        <v>39</v>
      </c>
      <c r="Z7" s="13" t="s">
        <v>40</v>
      </c>
      <c r="AA7" s="13" t="s">
        <v>43</v>
      </c>
      <c r="AB7" s="13" t="s">
        <v>44</v>
      </c>
      <c r="AC7" s="13" t="s">
        <v>45</v>
      </c>
      <c r="AD7" s="13" t="s">
        <v>43</v>
      </c>
      <c r="AE7" s="20" t="s">
        <v>46</v>
      </c>
      <c r="AF7" s="21" t="s">
        <v>44</v>
      </c>
      <c r="AG7" s="19" t="s">
        <v>45</v>
      </c>
      <c r="AH7" s="13" t="s">
        <v>47</v>
      </c>
      <c r="AI7" s="22" t="s">
        <v>44</v>
      </c>
      <c r="AJ7" s="22" t="s">
        <v>45</v>
      </c>
      <c r="AK7" s="22" t="s">
        <v>43</v>
      </c>
      <c r="AL7" s="22" t="s">
        <v>46</v>
      </c>
      <c r="AM7" s="22" t="s">
        <v>44</v>
      </c>
      <c r="AN7" s="22" t="s">
        <v>45</v>
      </c>
      <c r="AO7" s="22" t="s">
        <v>47</v>
      </c>
      <c r="AP7" s="15"/>
      <c r="AQ7" s="15"/>
      <c r="AR7" s="15"/>
      <c r="AS7" s="15"/>
      <c r="AT7" s="12" t="s">
        <v>37</v>
      </c>
      <c r="AU7" s="12" t="s">
        <v>38</v>
      </c>
      <c r="AV7" s="12" t="s">
        <v>39</v>
      </c>
      <c r="AW7" s="12" t="s">
        <v>40</v>
      </c>
      <c r="AX7" s="12" t="s">
        <v>43</v>
      </c>
      <c r="AY7" s="23" t="s">
        <v>44</v>
      </c>
      <c r="AZ7" s="23" t="s">
        <v>45</v>
      </c>
      <c r="BA7" s="23" t="s">
        <v>43</v>
      </c>
      <c r="BB7" s="23" t="s">
        <v>46</v>
      </c>
      <c r="BC7" s="23" t="s">
        <v>44</v>
      </c>
      <c r="BD7" s="23" t="s">
        <v>45</v>
      </c>
      <c r="BE7" s="23" t="s">
        <v>47</v>
      </c>
      <c r="BF7" s="16"/>
      <c r="BG7" s="24" t="s">
        <v>48</v>
      </c>
      <c r="BH7" s="24" t="s">
        <v>49</v>
      </c>
      <c r="BI7" s="24" t="s">
        <v>50</v>
      </c>
      <c r="BJ7" s="16"/>
      <c r="BK7" s="13" t="s">
        <v>37</v>
      </c>
      <c r="BL7" s="13" t="s">
        <v>38</v>
      </c>
      <c r="BM7" s="13" t="s">
        <v>39</v>
      </c>
      <c r="BN7" s="13" t="s">
        <v>40</v>
      </c>
      <c r="BO7" s="13" t="s">
        <v>43</v>
      </c>
      <c r="BP7" s="25" t="s">
        <v>51</v>
      </c>
      <c r="BQ7" s="25" t="s">
        <v>52</v>
      </c>
      <c r="BR7" s="25" t="s">
        <v>53</v>
      </c>
      <c r="BS7" s="15"/>
      <c r="BT7" s="15"/>
      <c r="BU7" s="15"/>
      <c r="BV7" s="12" t="s">
        <v>37</v>
      </c>
      <c r="BW7" s="12" t="s">
        <v>38</v>
      </c>
      <c r="BX7" s="12" t="s">
        <v>39</v>
      </c>
      <c r="BY7" s="12" t="s">
        <v>40</v>
      </c>
      <c r="BZ7" s="12" t="s">
        <v>43</v>
      </c>
      <c r="CA7" s="12" t="s">
        <v>51</v>
      </c>
      <c r="CB7" s="12" t="s">
        <v>45</v>
      </c>
      <c r="CC7" s="12" t="s">
        <v>54</v>
      </c>
    </row>
    <row r="8" spans="1:81" ht="15.75" customHeight="1">
      <c r="A8" s="26"/>
      <c r="B8" s="197"/>
      <c r="C8" s="198"/>
      <c r="D8" s="198"/>
      <c r="E8" s="198"/>
      <c r="F8" s="198"/>
      <c r="G8" s="199"/>
      <c r="H8" s="199"/>
      <c r="I8" s="199"/>
      <c r="J8" s="199"/>
      <c r="K8" s="199"/>
      <c r="L8" s="199"/>
      <c r="M8" s="199"/>
      <c r="N8" s="199"/>
      <c r="O8" s="199"/>
      <c r="P8" s="199"/>
      <c r="Q8" s="199"/>
      <c r="R8" s="199"/>
      <c r="S8" s="198"/>
      <c r="T8" s="198"/>
      <c r="U8" s="198"/>
      <c r="V8" s="198"/>
      <c r="W8" s="199"/>
      <c r="X8" s="199"/>
      <c r="Y8" s="199"/>
      <c r="Z8" s="199"/>
      <c r="AA8" s="199"/>
      <c r="AB8" s="199"/>
      <c r="AC8" s="199"/>
      <c r="AD8" s="199"/>
      <c r="AE8" s="200"/>
      <c r="AF8" s="201"/>
      <c r="AG8" s="199"/>
      <c r="AH8" s="199"/>
      <c r="AI8" s="199"/>
      <c r="AJ8" s="199"/>
      <c r="AK8" s="199"/>
      <c r="AL8" s="199"/>
      <c r="AM8" s="199"/>
      <c r="AN8" s="199"/>
      <c r="AO8" s="199"/>
      <c r="AP8" s="198"/>
      <c r="AQ8" s="198"/>
      <c r="AR8" s="198"/>
      <c r="AS8" s="198"/>
      <c r="AT8" s="199"/>
      <c r="AU8" s="199"/>
      <c r="AV8" s="199"/>
      <c r="AW8" s="199"/>
      <c r="AX8" s="199"/>
      <c r="AY8" s="199"/>
      <c r="AZ8" s="199"/>
      <c r="BA8" s="199"/>
      <c r="BB8" s="199"/>
      <c r="BC8" s="199"/>
      <c r="BD8" s="199"/>
      <c r="BE8" s="199"/>
      <c r="BF8" s="198"/>
      <c r="BG8" s="198"/>
      <c r="BH8" s="198"/>
      <c r="BI8" s="198"/>
      <c r="BJ8" s="198"/>
      <c r="BK8" s="199"/>
      <c r="BL8" s="199"/>
      <c r="BM8" s="199"/>
      <c r="BN8" s="199"/>
      <c r="BO8" s="199"/>
      <c r="BP8" s="199"/>
      <c r="BQ8" s="199"/>
      <c r="BR8" s="199"/>
      <c r="BS8" s="198"/>
      <c r="BT8" s="198"/>
      <c r="BU8" s="198"/>
      <c r="BV8" s="199"/>
      <c r="BW8" s="199"/>
      <c r="BX8" s="199"/>
      <c r="BY8" s="199"/>
      <c r="BZ8" s="199"/>
      <c r="CA8" s="199"/>
      <c r="CB8" s="199"/>
      <c r="CC8" s="199"/>
    </row>
    <row r="9" spans="1:81" ht="15.75" customHeight="1">
      <c r="A9" s="202"/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3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202"/>
      <c r="AS9" s="202"/>
      <c r="AT9" s="202"/>
      <c r="AU9" s="202"/>
      <c r="AV9" s="202"/>
      <c r="AW9" s="202"/>
      <c r="AX9" s="202"/>
      <c r="AY9" s="202"/>
      <c r="AZ9" s="202"/>
      <c r="BA9" s="202"/>
      <c r="BB9" s="202"/>
      <c r="BC9" s="202"/>
      <c r="BD9" s="202"/>
      <c r="BE9" s="202"/>
      <c r="BF9" s="202"/>
      <c r="BG9" s="202"/>
      <c r="BH9" s="202"/>
      <c r="BI9" s="202"/>
      <c r="BJ9" s="202"/>
      <c r="BK9" s="202"/>
      <c r="BL9" s="202"/>
      <c r="BM9" s="202"/>
      <c r="BN9" s="202"/>
      <c r="BO9" s="202"/>
      <c r="BP9" s="202"/>
      <c r="BQ9" s="202"/>
      <c r="BR9" s="202"/>
      <c r="BS9" s="202"/>
      <c r="BT9" s="202"/>
      <c r="BU9" s="202"/>
      <c r="BV9" s="202"/>
      <c r="BW9" s="202"/>
      <c r="BX9" s="202"/>
      <c r="BY9" s="202"/>
      <c r="BZ9" s="202"/>
      <c r="CA9" s="202"/>
      <c r="CB9" s="202"/>
      <c r="CC9" s="202"/>
    </row>
    <row r="10" spans="1:81" ht="15.75" customHeight="1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8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spans="1:81" ht="15.75" customHeight="1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8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 spans="1:81" ht="15.75" customHeight="1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8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 spans="1:81" ht="15.75" customHeight="1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8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 spans="1:81" ht="15.75" customHeight="1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8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 spans="1:81" ht="15.75" customHeight="1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8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spans="1:81" ht="15.75" customHeight="1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8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 spans="1:81" ht="15.75" customHeigh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8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spans="1:81" ht="15.75" customHeight="1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8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 spans="1:81" ht="15.75" customHeight="1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8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spans="1:81" ht="15.75" customHeight="1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8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spans="1:81" ht="15.75" customHeight="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8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spans="1:81" ht="15.75" customHeight="1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8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 spans="1:81" ht="15.75" customHeight="1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8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spans="1:81" ht="15.75" customHeight="1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8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spans="1:81" ht="15.75" customHeight="1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8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spans="1:81" ht="15.75" customHeight="1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8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spans="1:81" ht="15.75" customHeight="1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8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spans="1:81" ht="15.75" customHeight="1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8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spans="1:81" ht="15.75" customHeight="1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8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 spans="1:81" ht="15.75" customHeight="1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8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 spans="1:81" ht="15.75" customHeight="1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8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spans="1:81" ht="15.75" customHeight="1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8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 spans="1:81" ht="15.75" customHeight="1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8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spans="1:81" ht="15.75" customHeigh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8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 spans="1:81" ht="15.75" customHeigh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8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spans="1:81" ht="15.75" customHeigh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8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 spans="1:81" ht="15.75" customHeigh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8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 spans="1:81" ht="15.75" customHeigh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8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 spans="1:81" ht="15.75" customHeight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8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 spans="1:81" ht="15.75" customHeigh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8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</row>
    <row r="41" spans="1:81" ht="15.75" customHeigh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8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</row>
    <row r="42" spans="1:81" ht="15.75" customHeigh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8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</row>
    <row r="43" spans="1:81" ht="15.75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8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</row>
    <row r="44" spans="1:81" ht="15.75" customHeigh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8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</row>
    <row r="45" spans="1:81" ht="15.75" customHeigh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8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</row>
    <row r="46" spans="1:81" ht="15.7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8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</row>
    <row r="47" spans="1:81" ht="15.7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8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</row>
    <row r="48" spans="1:81" ht="15.7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8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</row>
    <row r="49" spans="1:81" ht="15.7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8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</row>
    <row r="50" spans="1:81" ht="15.7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8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</row>
    <row r="51" spans="1:81" ht="15.7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8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</row>
    <row r="52" spans="1:81" ht="15.7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8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</row>
    <row r="53" spans="1:81" ht="15.7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8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</row>
    <row r="54" spans="1:81" ht="15.7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8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</row>
    <row r="55" spans="1:81" ht="15.7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8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</row>
    <row r="56" spans="1:81" ht="15.7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8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</row>
    <row r="57" spans="1:81" ht="15.7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8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</row>
    <row r="58" spans="1:81" ht="15.7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8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</row>
    <row r="59" spans="1:81" ht="15.7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8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</row>
    <row r="60" spans="1:81" ht="15.7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8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</row>
    <row r="61" spans="1:81" ht="15.7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8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</row>
    <row r="62" spans="1:81" ht="15.7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8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</row>
    <row r="63" spans="1:81" ht="15.7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8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</row>
    <row r="64" spans="1:81" ht="15.7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8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</row>
    <row r="65" spans="1:81" ht="15.7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8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</row>
    <row r="66" spans="1:81" ht="15.7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8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</row>
    <row r="67" spans="1:81" ht="15.7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8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</row>
    <row r="68" spans="1:81" ht="15.7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8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</row>
    <row r="69" spans="1:81" ht="15.7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8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</row>
    <row r="70" spans="1:81" ht="15.7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8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</row>
    <row r="71" spans="1:81" ht="15.7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8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</row>
    <row r="72" spans="1:81" ht="15.7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8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</row>
    <row r="73" spans="1:81" ht="15.7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8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</row>
    <row r="74" spans="1:81" ht="15.7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8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</row>
    <row r="75" spans="1:81" ht="15.7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8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</row>
    <row r="76" spans="1:81" ht="15.7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8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</row>
    <row r="77" spans="1:81" ht="15.7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8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</row>
    <row r="78" spans="1:81" ht="15.7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8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</row>
    <row r="79" spans="1:81" ht="15.7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8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</row>
    <row r="80" spans="1:81" ht="15.7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8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</row>
    <row r="81" spans="1:81" ht="15.7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8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</row>
    <row r="82" spans="1:81" ht="15.7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8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</row>
    <row r="83" spans="1:81" ht="15.7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8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</row>
    <row r="84" spans="1:81" ht="15.7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8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</row>
    <row r="85" spans="1:81" ht="15.7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8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</row>
    <row r="86" spans="1:81" ht="15.7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8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</row>
    <row r="87" spans="1:81" ht="15.7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8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</row>
    <row r="88" spans="1:81" ht="15.7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8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</row>
    <row r="89" spans="1:81" ht="15.7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8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</row>
    <row r="90" spans="1:81" ht="15.7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8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</row>
    <row r="91" spans="1:81" ht="15.7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8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</row>
    <row r="92" spans="1:81" ht="15.7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8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</row>
    <row r="93" spans="1:81" ht="15.7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8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</row>
    <row r="94" spans="1:81" ht="15.7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8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</row>
    <row r="95" spans="1:81" ht="15.7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8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</row>
    <row r="96" spans="1:81" ht="15.7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8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</row>
    <row r="97" spans="1:81" ht="15.7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8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</row>
    <row r="98" spans="1:81" ht="15.7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8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</row>
    <row r="99" spans="1:81" ht="15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8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</row>
    <row r="100" spans="1:81" ht="15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8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</row>
    <row r="101" spans="1:81" ht="15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8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</row>
    <row r="102" spans="1:81" ht="15.7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8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</row>
    <row r="103" spans="1:81" ht="15.7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8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</row>
    <row r="104" spans="1:81" ht="15.7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8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</row>
    <row r="105" spans="1:81" ht="15.7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8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</row>
    <row r="106" spans="1:81" ht="15.7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8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</row>
    <row r="107" spans="1:81" ht="15.7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8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</row>
    <row r="108" spans="1:81" ht="15.7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8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</row>
    <row r="109" spans="1:81" ht="15.7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8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</row>
    <row r="110" spans="1:81" ht="15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8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</row>
    <row r="111" spans="1:81" ht="15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8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</row>
    <row r="112" spans="1:81" ht="15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8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</row>
    <row r="113" spans="1:81" ht="15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8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</row>
    <row r="114" spans="1:81" ht="15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8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</row>
    <row r="115" spans="1:81" ht="15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8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</row>
    <row r="116" spans="1:81" ht="15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8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</row>
    <row r="117" spans="1:81" ht="15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8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</row>
    <row r="118" spans="1:81" ht="15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8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</row>
    <row r="119" spans="1:81" ht="15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8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</row>
    <row r="120" spans="1:81" ht="15.7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8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</row>
    <row r="121" spans="1:81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8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</row>
    <row r="122" spans="1:81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8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</row>
    <row r="123" spans="1:81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8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</row>
    <row r="124" spans="1:81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8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</row>
    <row r="125" spans="1:81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8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</row>
    <row r="126" spans="1:81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8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</row>
    <row r="127" spans="1:81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8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</row>
    <row r="128" spans="1:81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8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</row>
    <row r="129" spans="1:81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8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</row>
    <row r="130" spans="1:81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8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</row>
    <row r="131" spans="1:81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8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</row>
    <row r="132" spans="1:81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8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</row>
    <row r="133" spans="1:81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8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</row>
    <row r="134" spans="1:81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8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</row>
    <row r="135" spans="1:81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8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</row>
    <row r="136" spans="1:81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8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</row>
    <row r="137" spans="1:81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8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</row>
    <row r="138" spans="1:81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8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</row>
    <row r="139" spans="1:81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8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</row>
    <row r="140" spans="1:81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8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</row>
    <row r="141" spans="1:81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8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</row>
    <row r="142" spans="1:81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8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</row>
    <row r="143" spans="1:81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8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</row>
    <row r="144" spans="1:81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8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</row>
    <row r="145" spans="1:81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8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</row>
    <row r="146" spans="1:81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8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</row>
    <row r="147" spans="1:81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8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</row>
    <row r="148" spans="1:81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8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</row>
    <row r="149" spans="1:81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8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</row>
    <row r="150" spans="1:81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8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</row>
    <row r="151" spans="1:81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8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</row>
    <row r="152" spans="1:81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8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</row>
    <row r="153" spans="1:81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8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</row>
    <row r="154" spans="1:81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8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</row>
    <row r="155" spans="1:81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8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</row>
    <row r="156" spans="1:81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8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</row>
    <row r="157" spans="1:81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8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</row>
    <row r="158" spans="1:81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8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</row>
    <row r="159" spans="1:81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8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</row>
    <row r="160" spans="1:81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8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</row>
    <row r="161" spans="1:81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8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</row>
    <row r="162" spans="1:81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8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</row>
    <row r="163" spans="1:81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8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</row>
    <row r="164" spans="1:81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8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</row>
    <row r="165" spans="1:81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8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</row>
    <row r="166" spans="1:81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8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</row>
    <row r="167" spans="1:81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8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</row>
    <row r="168" spans="1:81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8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</row>
    <row r="169" spans="1:81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8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</row>
    <row r="170" spans="1:81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8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</row>
    <row r="171" spans="1:81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8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</row>
    <row r="172" spans="1:81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8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</row>
    <row r="173" spans="1:81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8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</row>
    <row r="174" spans="1:81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8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</row>
    <row r="175" spans="1:81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8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</row>
    <row r="176" spans="1:81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8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</row>
    <row r="177" spans="1:81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8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</row>
    <row r="178" spans="1:81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8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</row>
    <row r="179" spans="1:81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8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</row>
    <row r="180" spans="1:81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8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</row>
    <row r="181" spans="1:81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8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</row>
    <row r="182" spans="1:81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8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</row>
    <row r="183" spans="1:81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8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</row>
    <row r="184" spans="1:81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8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</row>
    <row r="185" spans="1:81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8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</row>
    <row r="186" spans="1:81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8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</row>
    <row r="187" spans="1:81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8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</row>
    <row r="188" spans="1:81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8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</row>
    <row r="189" spans="1:81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8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</row>
    <row r="190" spans="1:81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8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</row>
    <row r="191" spans="1:81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8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</row>
    <row r="192" spans="1:81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8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</row>
    <row r="193" spans="1:81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8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</row>
    <row r="194" spans="1:81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8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</row>
    <row r="195" spans="1:81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8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</row>
    <row r="196" spans="1:81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8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</row>
    <row r="197" spans="1:81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8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</row>
    <row r="198" spans="1:81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8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</row>
    <row r="199" spans="1:81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8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</row>
    <row r="200" spans="1:81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8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</row>
    <row r="201" spans="1:81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8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</row>
    <row r="202" spans="1:81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8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</row>
    <row r="203" spans="1:81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8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</row>
    <row r="204" spans="1:81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8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</row>
    <row r="205" spans="1:81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8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</row>
    <row r="206" spans="1:81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8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</row>
    <row r="207" spans="1:81" ht="15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8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</row>
    <row r="208" spans="1:81" ht="15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8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</sheetData>
  <mergeCells count="22">
    <mergeCell ref="C5:D5"/>
    <mergeCell ref="E5:F5"/>
    <mergeCell ref="G5:R5"/>
    <mergeCell ref="S5:AO5"/>
    <mergeCell ref="AP5:BE5"/>
    <mergeCell ref="BK5:BQ5"/>
    <mergeCell ref="BV5:CC5"/>
    <mergeCell ref="AT6:AX6"/>
    <mergeCell ref="AY6:BB6"/>
    <mergeCell ref="BC6:BE6"/>
    <mergeCell ref="BG6:BI6"/>
    <mergeCell ref="BK6:BO6"/>
    <mergeCell ref="BP6:BR6"/>
    <mergeCell ref="BV6:BZ6"/>
    <mergeCell ref="CA6:CC6"/>
    <mergeCell ref="H6:L6"/>
    <mergeCell ref="M6:R6"/>
    <mergeCell ref="W6:AA6"/>
    <mergeCell ref="AB6:AE6"/>
    <mergeCell ref="AF6:AH6"/>
    <mergeCell ref="AI6:AL6"/>
    <mergeCell ref="AM6:AO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Z999"/>
  <sheetViews>
    <sheetView tabSelected="1" topLeftCell="A6" workbookViewId="0">
      <selection activeCell="D13" sqref="D13"/>
    </sheetView>
  </sheetViews>
  <sheetFormatPr defaultColWidth="12.6640625" defaultRowHeight="15" customHeight="1"/>
  <cols>
    <col min="1" max="1" width="18.6640625" customWidth="1"/>
    <col min="2" max="2" width="7" customWidth="1"/>
    <col min="3" max="3" width="20.109375" customWidth="1"/>
    <col min="4" max="4" width="22" customWidth="1"/>
    <col min="5" max="5" width="39.6640625" customWidth="1"/>
    <col min="6" max="6" width="14.88671875" customWidth="1"/>
    <col min="7" max="7" width="35" customWidth="1"/>
    <col min="8" max="8" width="17" customWidth="1"/>
    <col min="9" max="9" width="18" customWidth="1"/>
    <col min="10" max="10" width="17.44140625" customWidth="1"/>
    <col min="11" max="11" width="13.6640625" customWidth="1"/>
    <col min="12" max="12" width="23.109375" customWidth="1"/>
    <col min="13" max="13" width="12.77734375" customWidth="1"/>
    <col min="14" max="14" width="9.109375" customWidth="1"/>
    <col min="15" max="15" width="17.21875" customWidth="1"/>
    <col min="16" max="18" width="9.109375" customWidth="1"/>
    <col min="19" max="19" width="11.88671875" customWidth="1"/>
    <col min="20" max="20" width="22.33203125" customWidth="1"/>
    <col min="21" max="21" width="17.88671875" customWidth="1"/>
    <col min="22" max="22" width="14.88671875" customWidth="1"/>
    <col min="23" max="23" width="23.33203125" customWidth="1"/>
    <col min="24" max="26" width="18.33203125" customWidth="1"/>
    <col min="27" max="27" width="22.33203125" customWidth="1"/>
    <col min="28" max="28" width="19.33203125" customWidth="1"/>
    <col min="29" max="29" width="40.33203125" customWidth="1"/>
    <col min="30" max="30" width="26.109375" customWidth="1"/>
    <col min="31" max="31" width="18.109375" customWidth="1"/>
    <col min="32" max="32" width="24" customWidth="1"/>
    <col min="33" max="33" width="21.88671875" customWidth="1"/>
    <col min="34" max="34" width="18.109375" customWidth="1"/>
    <col min="35" max="35" width="14.21875" customWidth="1"/>
    <col min="36" max="36" width="22" customWidth="1"/>
    <col min="37" max="37" width="14.44140625" customWidth="1"/>
    <col min="38" max="39" width="20.44140625" customWidth="1"/>
    <col min="40" max="43" width="24.44140625" customWidth="1"/>
    <col min="44" max="44" width="12.109375" customWidth="1"/>
    <col min="45" max="45" width="14.21875" customWidth="1"/>
    <col min="46" max="47" width="12.109375" customWidth="1"/>
    <col min="48" max="48" width="14.44140625" customWidth="1"/>
    <col min="49" max="49" width="15.44140625" customWidth="1"/>
    <col min="50" max="51" width="16.77734375" customWidth="1"/>
    <col min="52" max="52" width="22.33203125" customWidth="1"/>
    <col min="53" max="53" width="17.6640625" customWidth="1"/>
    <col min="54" max="54" width="28.33203125" customWidth="1"/>
    <col min="55" max="71" width="22.33203125" customWidth="1"/>
    <col min="72" max="72" width="21.44140625" customWidth="1"/>
    <col min="73" max="77" width="13.44140625" customWidth="1"/>
    <col min="78" max="78" width="33.6640625" customWidth="1"/>
    <col min="79" max="79" width="23.44140625" customWidth="1"/>
    <col min="80" max="80" width="15.44140625" customWidth="1"/>
    <col min="81" max="81" width="24.88671875" customWidth="1"/>
    <col min="82" max="82" width="18.109375" customWidth="1"/>
    <col min="83" max="83" width="18.44140625" customWidth="1"/>
    <col min="84" max="84" width="19.77734375" customWidth="1"/>
    <col min="85" max="85" width="15.109375" customWidth="1"/>
    <col min="86" max="88" width="11.6640625" customWidth="1"/>
    <col min="89" max="89" width="25.88671875" customWidth="1"/>
    <col min="90" max="90" width="24.33203125" customWidth="1"/>
    <col min="91" max="91" width="27.109375" customWidth="1"/>
    <col min="92" max="95" width="17" customWidth="1"/>
    <col min="96" max="96" width="17.6640625" customWidth="1"/>
    <col min="97" max="97" width="13.6640625" customWidth="1"/>
    <col min="98" max="98" width="24.33203125" customWidth="1"/>
    <col min="99" max="99" width="19.33203125" customWidth="1"/>
    <col min="100" max="104" width="33.6640625" customWidth="1"/>
  </cols>
  <sheetData>
    <row r="1" spans="1:104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9"/>
      <c r="T1" s="2"/>
      <c r="U1" s="2"/>
      <c r="V1" s="2"/>
      <c r="W1" s="2"/>
      <c r="X1" s="4"/>
      <c r="Y1" s="4"/>
      <c r="Z1" s="40"/>
      <c r="AA1" s="4"/>
      <c r="AB1" s="4"/>
      <c r="AC1" s="39"/>
      <c r="AD1" s="4"/>
      <c r="AE1" s="4"/>
      <c r="AF1" s="41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39"/>
      <c r="BX1" s="39"/>
      <c r="BY1" s="39"/>
      <c r="BZ1" s="39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</row>
    <row r="2" spans="1:104" ht="15.7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9"/>
      <c r="T2" s="2"/>
      <c r="U2" s="2"/>
      <c r="V2" s="2"/>
      <c r="W2" s="2"/>
      <c r="X2" s="4"/>
      <c r="Y2" s="4"/>
      <c r="Z2" s="40"/>
      <c r="AA2" s="4"/>
      <c r="AB2" s="4"/>
      <c r="AC2" s="39"/>
      <c r="AD2" s="4"/>
      <c r="AE2" s="4"/>
      <c r="AF2" s="41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39"/>
      <c r="BX2" s="39"/>
      <c r="BY2" s="39"/>
      <c r="BZ2" s="39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</row>
    <row r="3" spans="1:104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39"/>
      <c r="T3" s="2"/>
      <c r="U3" s="2"/>
      <c r="V3" s="2"/>
      <c r="W3" s="2"/>
      <c r="X3" s="4"/>
      <c r="Y3" s="4"/>
      <c r="Z3" s="40"/>
      <c r="AA3" s="4"/>
      <c r="AB3" s="4"/>
      <c r="AC3" s="39"/>
      <c r="AD3" s="4"/>
      <c r="AE3" s="4"/>
      <c r="AF3" s="41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39"/>
      <c r="BX3" s="39"/>
      <c r="BY3" s="39"/>
      <c r="BZ3" s="39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</row>
    <row r="4" spans="1:104" ht="27" customHeight="1">
      <c r="A4" s="42" t="s">
        <v>2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3" t="e">
        <f>SUM(#REF!)</f>
        <v>#REF!</v>
      </c>
      <c r="N4" s="43" t="e">
        <f>SUM(#REF!)</f>
        <v>#REF!</v>
      </c>
      <c r="O4" s="43" t="e">
        <f>SUM(#REF!)</f>
        <v>#REF!</v>
      </c>
      <c r="P4" s="43" t="e">
        <f>SUM(#REF!)</f>
        <v>#REF!</v>
      </c>
      <c r="Q4" s="43" t="e">
        <f>SUM(#REF!)</f>
        <v>#REF!</v>
      </c>
      <c r="R4" s="43" t="e">
        <f>SUM(#REF!)</f>
        <v>#REF!</v>
      </c>
      <c r="S4" s="44"/>
      <c r="T4" s="42"/>
      <c r="U4" s="42"/>
      <c r="V4" s="42"/>
      <c r="W4" s="42"/>
      <c r="X4" s="42"/>
      <c r="Y4" s="42"/>
      <c r="Z4" s="45" t="e">
        <f>SUM(#REF!)</f>
        <v>#REF!</v>
      </c>
      <c r="AA4" s="42"/>
      <c r="AB4" s="46" t="e">
        <f>SUM(#REF!)</f>
        <v>#REF!</v>
      </c>
      <c r="AC4" s="47"/>
      <c r="AD4" s="44"/>
      <c r="AE4" s="44"/>
      <c r="AF4" s="33"/>
      <c r="AG4" s="42"/>
      <c r="AH4" s="45" t="e">
        <f>SUM(#REF!)</f>
        <v>#REF!</v>
      </c>
      <c r="AI4" s="46" t="e">
        <f>SUM(#REF!)</f>
        <v>#REF!</v>
      </c>
      <c r="AJ4" s="46" t="e">
        <f>SUM(#REF!)</f>
        <v>#REF!</v>
      </c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4"/>
      <c r="AV4" s="44"/>
      <c r="AW4" s="44"/>
      <c r="AX4" s="42"/>
      <c r="AY4" s="42"/>
      <c r="AZ4" s="42"/>
      <c r="BA4" s="48"/>
      <c r="BB4" s="48"/>
      <c r="BC4" s="48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8"/>
      <c r="BQ4" s="42"/>
      <c r="BR4" s="44"/>
      <c r="BS4" s="44"/>
      <c r="BT4" s="45" t="e">
        <f>SUM(#REF!)</f>
        <v>#REF!</v>
      </c>
      <c r="BU4" s="43" t="e">
        <f>SUM(#REF!)</f>
        <v>#REF!</v>
      </c>
      <c r="BV4" s="43" t="e">
        <f>SUM(#REF!)</f>
        <v>#REF!</v>
      </c>
      <c r="BW4" s="43" t="e">
        <f>SUM(#REF!)</f>
        <v>#REF!</v>
      </c>
      <c r="BX4" s="43"/>
      <c r="BY4" s="43" t="e">
        <f>SUM(#REF!)</f>
        <v>#REF!</v>
      </c>
      <c r="BZ4" s="44"/>
      <c r="CA4" s="48"/>
      <c r="CB4" s="42"/>
      <c r="CC4" s="42"/>
      <c r="CD4" s="48"/>
      <c r="CE4" s="45" t="e">
        <f>SUM(#REF!)</f>
        <v>#REF!</v>
      </c>
      <c r="CF4" s="43" t="e">
        <f>SUM(#REF!)</f>
        <v>#REF!</v>
      </c>
      <c r="CG4" s="48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48"/>
      <c r="CS4" s="48"/>
      <c r="CT4" s="48"/>
      <c r="CU4" s="48"/>
      <c r="CV4" s="48"/>
      <c r="CW4" s="48"/>
      <c r="CX4" s="48"/>
      <c r="CY4" s="48"/>
      <c r="CZ4" s="48"/>
    </row>
    <row r="5" spans="1:104" ht="57" customHeight="1">
      <c r="A5" s="49"/>
      <c r="B5" s="50"/>
      <c r="C5" s="179" t="s">
        <v>3</v>
      </c>
      <c r="D5" s="167"/>
      <c r="E5" s="168" t="s">
        <v>4</v>
      </c>
      <c r="F5" s="170"/>
      <c r="G5" s="51"/>
      <c r="H5" s="180" t="s">
        <v>74</v>
      </c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7"/>
      <c r="Z5" s="181" t="s">
        <v>6</v>
      </c>
      <c r="AA5" s="169"/>
      <c r="AB5" s="169"/>
      <c r="AC5" s="169"/>
      <c r="AD5" s="169"/>
      <c r="AE5" s="169"/>
      <c r="AF5" s="167"/>
      <c r="AG5" s="179" t="s">
        <v>75</v>
      </c>
      <c r="AH5" s="169"/>
      <c r="AI5" s="169"/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9"/>
      <c r="AY5" s="169"/>
      <c r="AZ5" s="169"/>
      <c r="BA5" s="169"/>
      <c r="BB5" s="167"/>
      <c r="BC5" s="168" t="s">
        <v>76</v>
      </c>
      <c r="BD5" s="169"/>
      <c r="BE5" s="169"/>
      <c r="BF5" s="169"/>
      <c r="BG5" s="169"/>
      <c r="BH5" s="169"/>
      <c r="BI5" s="167"/>
      <c r="BJ5" s="179" t="s">
        <v>77</v>
      </c>
      <c r="BK5" s="169"/>
      <c r="BL5" s="169"/>
      <c r="BM5" s="169"/>
      <c r="BN5" s="169"/>
      <c r="BO5" s="169"/>
      <c r="BP5" s="169"/>
      <c r="BQ5" s="169"/>
      <c r="BR5" s="169"/>
      <c r="BS5" s="167"/>
      <c r="BT5" s="168" t="s">
        <v>8</v>
      </c>
      <c r="BU5" s="169"/>
      <c r="BV5" s="169"/>
      <c r="BW5" s="169"/>
      <c r="BX5" s="169"/>
      <c r="BY5" s="169"/>
      <c r="BZ5" s="169"/>
      <c r="CA5" s="169"/>
      <c r="CB5" s="167"/>
      <c r="CC5" s="52"/>
      <c r="CD5" s="179" t="s">
        <v>78</v>
      </c>
      <c r="CE5" s="169"/>
      <c r="CF5" s="169"/>
      <c r="CG5" s="169"/>
      <c r="CH5" s="169"/>
      <c r="CI5" s="169"/>
      <c r="CJ5" s="169"/>
      <c r="CK5" s="169"/>
      <c r="CL5" s="169"/>
      <c r="CM5" s="169"/>
      <c r="CN5" s="169"/>
      <c r="CO5" s="169"/>
      <c r="CP5" s="169"/>
      <c r="CQ5" s="169"/>
      <c r="CR5" s="169"/>
      <c r="CS5" s="169"/>
      <c r="CT5" s="169"/>
      <c r="CU5" s="169"/>
      <c r="CV5" s="167"/>
      <c r="CW5" s="168" t="s">
        <v>79</v>
      </c>
      <c r="CX5" s="169"/>
      <c r="CY5" s="169"/>
      <c r="CZ5" s="167"/>
    </row>
    <row r="6" spans="1:104" ht="66.75" customHeight="1">
      <c r="A6" s="53"/>
      <c r="B6" s="54" t="s">
        <v>10</v>
      </c>
      <c r="C6" s="55" t="s">
        <v>80</v>
      </c>
      <c r="D6" s="56" t="s">
        <v>81</v>
      </c>
      <c r="E6" s="57" t="s">
        <v>82</v>
      </c>
      <c r="F6" s="57" t="s">
        <v>83</v>
      </c>
      <c r="G6" s="58" t="s">
        <v>84</v>
      </c>
      <c r="H6" s="179" t="s">
        <v>85</v>
      </c>
      <c r="I6" s="169"/>
      <c r="J6" s="169"/>
      <c r="K6" s="170"/>
      <c r="L6" s="59" t="s">
        <v>86</v>
      </c>
      <c r="M6" s="180" t="s">
        <v>87</v>
      </c>
      <c r="N6" s="167"/>
      <c r="O6" s="179" t="s">
        <v>88</v>
      </c>
      <c r="P6" s="169"/>
      <c r="Q6" s="169"/>
      <c r="R6" s="167"/>
      <c r="S6" s="180" t="s">
        <v>89</v>
      </c>
      <c r="T6" s="169"/>
      <c r="U6" s="169"/>
      <c r="V6" s="169"/>
      <c r="W6" s="167"/>
      <c r="X6" s="182" t="s">
        <v>90</v>
      </c>
      <c r="Y6" s="173"/>
      <c r="Z6" s="60" t="s">
        <v>18</v>
      </c>
      <c r="AA6" s="57" t="s">
        <v>19</v>
      </c>
      <c r="AB6" s="57" t="s">
        <v>20</v>
      </c>
      <c r="AC6" s="61" t="s">
        <v>21</v>
      </c>
      <c r="AD6" s="175" t="s">
        <v>91</v>
      </c>
      <c r="AE6" s="169"/>
      <c r="AF6" s="167"/>
      <c r="AG6" s="62" t="s">
        <v>92</v>
      </c>
      <c r="AH6" s="62" t="s">
        <v>93</v>
      </c>
      <c r="AI6" s="62" t="s">
        <v>94</v>
      </c>
      <c r="AJ6" s="62" t="s">
        <v>95</v>
      </c>
      <c r="AK6" s="62" t="s">
        <v>96</v>
      </c>
      <c r="AL6" s="183" t="s">
        <v>97</v>
      </c>
      <c r="AM6" s="169"/>
      <c r="AN6" s="169"/>
      <c r="AO6" s="169"/>
      <c r="AP6" s="169"/>
      <c r="AQ6" s="167"/>
      <c r="AR6" s="183" t="s">
        <v>98</v>
      </c>
      <c r="AS6" s="169"/>
      <c r="AT6" s="169"/>
      <c r="AU6" s="167"/>
      <c r="AV6" s="183" t="s">
        <v>99</v>
      </c>
      <c r="AW6" s="169"/>
      <c r="AX6" s="169"/>
      <c r="AY6" s="167"/>
      <c r="AZ6" s="179" t="s">
        <v>100</v>
      </c>
      <c r="BA6" s="169"/>
      <c r="BB6" s="167"/>
      <c r="BC6" s="57" t="s">
        <v>27</v>
      </c>
      <c r="BD6" s="57" t="s">
        <v>101</v>
      </c>
      <c r="BE6" s="57" t="s">
        <v>20</v>
      </c>
      <c r="BF6" s="57" t="s">
        <v>21</v>
      </c>
      <c r="BG6" s="185" t="s">
        <v>102</v>
      </c>
      <c r="BH6" s="172"/>
      <c r="BI6" s="173"/>
      <c r="BJ6" s="56" t="s">
        <v>92</v>
      </c>
      <c r="BK6" s="56" t="s">
        <v>93</v>
      </c>
      <c r="BL6" s="56" t="s">
        <v>94</v>
      </c>
      <c r="BM6" s="56" t="s">
        <v>95</v>
      </c>
      <c r="BN6" s="56" t="s">
        <v>103</v>
      </c>
      <c r="BO6" s="56" t="s">
        <v>104</v>
      </c>
      <c r="BP6" s="56" t="s">
        <v>96</v>
      </c>
      <c r="BQ6" s="182" t="s">
        <v>105</v>
      </c>
      <c r="BR6" s="172"/>
      <c r="BS6" s="173"/>
      <c r="BT6" s="61" t="s">
        <v>28</v>
      </c>
      <c r="BU6" s="175" t="s">
        <v>106</v>
      </c>
      <c r="BV6" s="169"/>
      <c r="BW6" s="169"/>
      <c r="BX6" s="169"/>
      <c r="BY6" s="167"/>
      <c r="BZ6" s="57" t="s">
        <v>21</v>
      </c>
      <c r="CA6" s="175" t="s">
        <v>107</v>
      </c>
      <c r="CB6" s="169"/>
      <c r="CC6" s="167"/>
      <c r="CD6" s="56" t="s">
        <v>108</v>
      </c>
      <c r="CE6" s="56" t="s">
        <v>109</v>
      </c>
      <c r="CF6" s="56" t="s">
        <v>110</v>
      </c>
      <c r="CG6" s="184" t="s">
        <v>111</v>
      </c>
      <c r="CH6" s="169"/>
      <c r="CI6" s="169"/>
      <c r="CJ6" s="169"/>
      <c r="CK6" s="169"/>
      <c r="CL6" s="169"/>
      <c r="CM6" s="169"/>
      <c r="CN6" s="169"/>
      <c r="CO6" s="169"/>
      <c r="CP6" s="169"/>
      <c r="CQ6" s="169"/>
      <c r="CR6" s="169"/>
      <c r="CS6" s="170"/>
      <c r="CT6" s="180" t="s">
        <v>112</v>
      </c>
      <c r="CU6" s="169"/>
      <c r="CV6" s="167"/>
      <c r="CW6" s="57" t="s">
        <v>31</v>
      </c>
      <c r="CX6" s="168" t="s">
        <v>113</v>
      </c>
      <c r="CY6" s="169"/>
      <c r="CZ6" s="167"/>
    </row>
    <row r="7" spans="1:104" ht="82.5" customHeight="1">
      <c r="A7" s="63"/>
      <c r="B7" s="64"/>
      <c r="C7" s="65"/>
      <c r="D7" s="66"/>
      <c r="E7" s="67"/>
      <c r="F7" s="67"/>
      <c r="G7" s="68"/>
      <c r="H7" s="69" t="s">
        <v>37</v>
      </c>
      <c r="I7" s="69" t="s">
        <v>38</v>
      </c>
      <c r="J7" s="69" t="s">
        <v>39</v>
      </c>
      <c r="K7" s="70" t="s">
        <v>40</v>
      </c>
      <c r="L7" s="71"/>
      <c r="M7" s="72" t="s">
        <v>59</v>
      </c>
      <c r="N7" s="72" t="s">
        <v>63</v>
      </c>
      <c r="O7" s="73" t="s">
        <v>114</v>
      </c>
      <c r="P7" s="73" t="s">
        <v>115</v>
      </c>
      <c r="Q7" s="73" t="s">
        <v>116</v>
      </c>
      <c r="R7" s="73" t="s">
        <v>117</v>
      </c>
      <c r="S7" s="74" t="s">
        <v>118</v>
      </c>
      <c r="T7" s="74" t="s">
        <v>119</v>
      </c>
      <c r="U7" s="74" t="s">
        <v>120</v>
      </c>
      <c r="V7" s="74" t="s">
        <v>121</v>
      </c>
      <c r="W7" s="74" t="s">
        <v>122</v>
      </c>
      <c r="X7" s="74" t="s">
        <v>123</v>
      </c>
      <c r="Y7" s="75" t="s">
        <v>124</v>
      </c>
      <c r="Z7" s="76" t="s">
        <v>125</v>
      </c>
      <c r="AA7" s="76" t="s">
        <v>125</v>
      </c>
      <c r="AB7" s="76" t="s">
        <v>125</v>
      </c>
      <c r="AC7" s="76" t="s">
        <v>125</v>
      </c>
      <c r="AD7" s="21" t="s">
        <v>51</v>
      </c>
      <c r="AE7" s="13" t="s">
        <v>45</v>
      </c>
      <c r="AF7" s="13" t="s">
        <v>47</v>
      </c>
      <c r="AG7" s="77" t="s">
        <v>125</v>
      </c>
      <c r="AH7" s="77" t="s">
        <v>125</v>
      </c>
      <c r="AI7" s="77" t="s">
        <v>125</v>
      </c>
      <c r="AJ7" s="77" t="s">
        <v>125</v>
      </c>
      <c r="AK7" s="77" t="s">
        <v>125</v>
      </c>
      <c r="AL7" s="72" t="s">
        <v>126</v>
      </c>
      <c r="AM7" s="72" t="s">
        <v>127</v>
      </c>
      <c r="AN7" s="72" t="s">
        <v>128</v>
      </c>
      <c r="AO7" s="72" t="s">
        <v>129</v>
      </c>
      <c r="AP7" s="72" t="s">
        <v>130</v>
      </c>
      <c r="AQ7" s="72" t="s">
        <v>131</v>
      </c>
      <c r="AR7" s="72" t="s">
        <v>132</v>
      </c>
      <c r="AS7" s="72" t="s">
        <v>133</v>
      </c>
      <c r="AT7" s="72" t="s">
        <v>134</v>
      </c>
      <c r="AU7" s="72" t="s">
        <v>135</v>
      </c>
      <c r="AV7" s="72" t="s">
        <v>136</v>
      </c>
      <c r="AW7" s="72" t="s">
        <v>137</v>
      </c>
      <c r="AX7" s="72" t="s">
        <v>138</v>
      </c>
      <c r="AY7" s="72" t="s">
        <v>139</v>
      </c>
      <c r="AZ7" s="56" t="s">
        <v>51</v>
      </c>
      <c r="BA7" s="56" t="s">
        <v>45</v>
      </c>
      <c r="BB7" s="56" t="s">
        <v>47</v>
      </c>
      <c r="BC7" s="76" t="s">
        <v>125</v>
      </c>
      <c r="BD7" s="76" t="s">
        <v>125</v>
      </c>
      <c r="BE7" s="76" t="s">
        <v>125</v>
      </c>
      <c r="BF7" s="76" t="s">
        <v>125</v>
      </c>
      <c r="BG7" s="57" t="s">
        <v>51</v>
      </c>
      <c r="BH7" s="57" t="s">
        <v>45</v>
      </c>
      <c r="BI7" s="8" t="s">
        <v>47</v>
      </c>
      <c r="BJ7" s="77" t="s">
        <v>125</v>
      </c>
      <c r="BK7" s="77" t="s">
        <v>125</v>
      </c>
      <c r="BL7" s="77" t="s">
        <v>125</v>
      </c>
      <c r="BM7" s="77" t="s">
        <v>125</v>
      </c>
      <c r="BN7" s="77" t="s">
        <v>125</v>
      </c>
      <c r="BO7" s="77" t="s">
        <v>125</v>
      </c>
      <c r="BP7" s="77" t="s">
        <v>125</v>
      </c>
      <c r="BQ7" s="78" t="s">
        <v>140</v>
      </c>
      <c r="BR7" s="56" t="s">
        <v>52</v>
      </c>
      <c r="BS7" s="56" t="s">
        <v>141</v>
      </c>
      <c r="BT7" s="79" t="s">
        <v>142</v>
      </c>
      <c r="BU7" s="80" t="s">
        <v>143</v>
      </c>
      <c r="BV7" s="80" t="s">
        <v>144</v>
      </c>
      <c r="BW7" s="80" t="s">
        <v>145</v>
      </c>
      <c r="BX7" s="80" t="s">
        <v>146</v>
      </c>
      <c r="BY7" s="80" t="s">
        <v>147</v>
      </c>
      <c r="BZ7" s="79" t="s">
        <v>142</v>
      </c>
      <c r="CA7" s="57" t="s">
        <v>51</v>
      </c>
      <c r="CB7" s="57" t="s">
        <v>52</v>
      </c>
      <c r="CC7" s="81" t="s">
        <v>141</v>
      </c>
      <c r="CD7" s="77" t="s">
        <v>125</v>
      </c>
      <c r="CE7" s="77" t="s">
        <v>125</v>
      </c>
      <c r="CF7" s="77" t="s">
        <v>125</v>
      </c>
      <c r="CG7" s="82" t="s">
        <v>148</v>
      </c>
      <c r="CH7" s="82" t="s">
        <v>149</v>
      </c>
      <c r="CI7" s="82" t="s">
        <v>150</v>
      </c>
      <c r="CJ7" s="82" t="s">
        <v>151</v>
      </c>
      <c r="CK7" s="82" t="s">
        <v>152</v>
      </c>
      <c r="CL7" s="82" t="s">
        <v>153</v>
      </c>
      <c r="CM7" s="82" t="s">
        <v>154</v>
      </c>
      <c r="CN7" s="82" t="s">
        <v>155</v>
      </c>
      <c r="CO7" s="82" t="s">
        <v>156</v>
      </c>
      <c r="CP7" s="82" t="s">
        <v>157</v>
      </c>
      <c r="CQ7" s="82" t="s">
        <v>158</v>
      </c>
      <c r="CR7" s="82" t="s">
        <v>159</v>
      </c>
      <c r="CS7" s="83" t="s">
        <v>160</v>
      </c>
      <c r="CT7" s="84" t="s">
        <v>51</v>
      </c>
      <c r="CU7" s="69" t="s">
        <v>52</v>
      </c>
      <c r="CV7" s="69" t="s">
        <v>141</v>
      </c>
      <c r="CW7" s="79" t="s">
        <v>142</v>
      </c>
      <c r="CX7" s="57" t="s">
        <v>51</v>
      </c>
      <c r="CY7" s="57" t="s">
        <v>52</v>
      </c>
      <c r="CZ7" s="57" t="s">
        <v>54</v>
      </c>
    </row>
    <row r="8" spans="1:104" ht="198.75" customHeight="1">
      <c r="A8" s="11" t="s">
        <v>161</v>
      </c>
      <c r="B8" s="31"/>
      <c r="C8" s="31" t="s">
        <v>162</v>
      </c>
      <c r="D8" s="31" t="s">
        <v>163</v>
      </c>
      <c r="E8" s="31" t="s">
        <v>164</v>
      </c>
      <c r="F8" s="31" t="s">
        <v>165</v>
      </c>
      <c r="G8" s="31" t="s">
        <v>166</v>
      </c>
      <c r="H8" s="85" t="s">
        <v>167</v>
      </c>
      <c r="I8" s="85" t="s">
        <v>168</v>
      </c>
      <c r="J8" s="85" t="s">
        <v>169</v>
      </c>
      <c r="K8" s="85" t="s">
        <v>170</v>
      </c>
      <c r="L8" s="85"/>
      <c r="M8" s="85" t="s">
        <v>171</v>
      </c>
      <c r="N8" s="85"/>
      <c r="O8" s="85" t="s">
        <v>172</v>
      </c>
      <c r="P8" s="85"/>
      <c r="Q8" s="85"/>
      <c r="R8" s="85"/>
      <c r="S8" s="85" t="s">
        <v>173</v>
      </c>
      <c r="T8" s="85" t="s">
        <v>174</v>
      </c>
      <c r="U8" s="85" t="s">
        <v>175</v>
      </c>
      <c r="V8" s="85" t="s">
        <v>176</v>
      </c>
      <c r="W8" s="85" t="s">
        <v>177</v>
      </c>
      <c r="X8" s="85" t="s">
        <v>178</v>
      </c>
      <c r="Y8" s="85" t="s">
        <v>179</v>
      </c>
      <c r="Z8" s="36" t="s">
        <v>180</v>
      </c>
      <c r="AA8" s="35" t="s">
        <v>181</v>
      </c>
      <c r="AB8" s="35" t="s">
        <v>182</v>
      </c>
      <c r="AC8" s="35" t="s">
        <v>183</v>
      </c>
      <c r="AD8" s="35" t="s">
        <v>184</v>
      </c>
      <c r="AE8" s="35" t="s">
        <v>183</v>
      </c>
      <c r="AF8" s="35" t="s">
        <v>185</v>
      </c>
      <c r="AG8" s="30" t="s">
        <v>186</v>
      </c>
      <c r="AH8" s="30" t="s">
        <v>187</v>
      </c>
      <c r="AI8" s="30" t="s">
        <v>188</v>
      </c>
      <c r="AJ8" s="30" t="s">
        <v>189</v>
      </c>
      <c r="AK8" s="30" t="s">
        <v>190</v>
      </c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 t="s">
        <v>184</v>
      </c>
      <c r="BA8" s="30" t="s">
        <v>191</v>
      </c>
      <c r="BB8" s="30" t="s">
        <v>192</v>
      </c>
      <c r="BC8" s="30" t="s">
        <v>193</v>
      </c>
      <c r="BD8" s="30" t="s">
        <v>194</v>
      </c>
      <c r="BE8" s="30" t="s">
        <v>195</v>
      </c>
      <c r="BF8" s="30" t="s">
        <v>196</v>
      </c>
      <c r="BG8" s="30" t="s">
        <v>197</v>
      </c>
      <c r="BH8" s="30" t="s">
        <v>198</v>
      </c>
      <c r="BI8" s="30" t="s">
        <v>199</v>
      </c>
      <c r="BJ8" s="30" t="s">
        <v>200</v>
      </c>
      <c r="BK8" s="30" t="s">
        <v>201</v>
      </c>
      <c r="BL8" s="30" t="s">
        <v>202</v>
      </c>
      <c r="BM8" s="30" t="s">
        <v>202</v>
      </c>
      <c r="BN8" s="30" t="s">
        <v>203</v>
      </c>
      <c r="BO8" s="30" t="s">
        <v>204</v>
      </c>
      <c r="BP8" s="30" t="s">
        <v>205</v>
      </c>
      <c r="BQ8" s="30" t="s">
        <v>206</v>
      </c>
      <c r="BR8" s="30" t="s">
        <v>207</v>
      </c>
      <c r="BS8" s="30" t="s">
        <v>205</v>
      </c>
      <c r="BT8" s="31" t="s">
        <v>208</v>
      </c>
      <c r="BU8" s="31" t="s">
        <v>209</v>
      </c>
      <c r="BV8" s="31" t="s">
        <v>209</v>
      </c>
      <c r="BW8" s="31" t="s">
        <v>209</v>
      </c>
      <c r="BX8" s="31" t="s">
        <v>209</v>
      </c>
      <c r="BY8" s="31" t="s">
        <v>209</v>
      </c>
      <c r="BZ8" s="31" t="s">
        <v>210</v>
      </c>
      <c r="CA8" s="31" t="s">
        <v>211</v>
      </c>
      <c r="CB8" s="31" t="s">
        <v>212</v>
      </c>
      <c r="CC8" s="31" t="s">
        <v>205</v>
      </c>
      <c r="CD8" s="31" t="s">
        <v>213</v>
      </c>
      <c r="CE8" s="31" t="s">
        <v>214</v>
      </c>
      <c r="CF8" s="31" t="s">
        <v>215</v>
      </c>
      <c r="CG8" s="86"/>
      <c r="CH8" s="86"/>
      <c r="CI8" s="86"/>
      <c r="CJ8" s="31"/>
      <c r="CK8" s="31"/>
      <c r="CL8" s="31"/>
      <c r="CM8" s="31"/>
      <c r="CN8" s="31"/>
      <c r="CO8" s="31"/>
      <c r="CP8" s="31"/>
      <c r="CQ8" s="31"/>
      <c r="CR8" s="31"/>
      <c r="CS8" s="31"/>
      <c r="CT8" s="31" t="s">
        <v>211</v>
      </c>
      <c r="CU8" s="31" t="s">
        <v>207</v>
      </c>
      <c r="CV8" s="31" t="s">
        <v>216</v>
      </c>
      <c r="CW8" s="31" t="s">
        <v>217</v>
      </c>
      <c r="CX8" s="31" t="s">
        <v>218</v>
      </c>
      <c r="CY8" s="31" t="s">
        <v>219</v>
      </c>
      <c r="CZ8" s="31" t="s">
        <v>220</v>
      </c>
    </row>
    <row r="9" spans="1:104" ht="15.75" customHeight="1">
      <c r="A9" s="87"/>
      <c r="B9" s="87"/>
      <c r="C9" s="88"/>
      <c r="D9" s="89"/>
      <c r="E9" s="90"/>
      <c r="F9" s="89"/>
      <c r="G9" s="91"/>
      <c r="H9" s="90"/>
      <c r="I9" s="90"/>
      <c r="J9" s="90"/>
      <c r="K9" s="90"/>
      <c r="L9" s="89"/>
      <c r="M9" s="90"/>
      <c r="N9" s="90"/>
      <c r="O9" s="89"/>
      <c r="P9" s="89"/>
      <c r="Q9" s="89"/>
      <c r="R9" s="89"/>
      <c r="S9" s="89"/>
      <c r="T9" s="90"/>
      <c r="U9" s="90"/>
      <c r="V9" s="90"/>
      <c r="W9" s="90"/>
      <c r="X9" s="90"/>
      <c r="Y9" s="90"/>
      <c r="Z9" s="92"/>
      <c r="AA9" s="89"/>
      <c r="AB9" s="89"/>
      <c r="AC9" s="89"/>
      <c r="AD9" s="87"/>
      <c r="AE9" s="87"/>
      <c r="AF9" s="87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90"/>
      <c r="BA9" s="90"/>
      <c r="BB9" s="90"/>
      <c r="BC9" s="87"/>
      <c r="BD9" s="93"/>
      <c r="BE9" s="87"/>
      <c r="BF9" s="87"/>
      <c r="BG9" s="87"/>
      <c r="BH9" s="87"/>
      <c r="BI9" s="87"/>
      <c r="BJ9" s="87"/>
      <c r="BK9" s="94"/>
      <c r="BL9" s="94"/>
      <c r="BM9" s="94"/>
      <c r="BN9" s="87"/>
      <c r="BO9" s="87"/>
      <c r="BP9" s="87"/>
      <c r="BQ9" s="87"/>
      <c r="BR9" s="87"/>
      <c r="BS9" s="87"/>
      <c r="BT9" s="88"/>
      <c r="BU9" s="89"/>
      <c r="BV9" s="89"/>
      <c r="BW9" s="89"/>
      <c r="BX9" s="89"/>
      <c r="BY9" s="89"/>
      <c r="BZ9" s="89"/>
      <c r="CA9" s="87"/>
      <c r="CB9" s="87"/>
      <c r="CC9" s="87"/>
      <c r="CD9" s="88"/>
      <c r="CE9" s="89"/>
      <c r="CF9" s="89"/>
      <c r="CG9" s="89"/>
      <c r="CH9" s="89"/>
      <c r="CI9" s="89"/>
      <c r="CJ9" s="89"/>
      <c r="CK9" s="89"/>
      <c r="CL9" s="89"/>
      <c r="CM9" s="89"/>
      <c r="CN9" s="89"/>
      <c r="CO9" s="89"/>
      <c r="CP9" s="89"/>
      <c r="CQ9" s="89"/>
      <c r="CR9" s="89"/>
      <c r="CS9" s="89"/>
      <c r="CT9" s="89"/>
      <c r="CU9" s="89"/>
      <c r="CV9" s="89"/>
      <c r="CW9" s="87"/>
      <c r="CX9" s="87"/>
      <c r="CY9" s="87"/>
      <c r="CZ9" s="87"/>
    </row>
    <row r="10" spans="1:104" ht="15" customHeight="1">
      <c r="B10" s="204"/>
      <c r="C10" s="204"/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  <c r="AL10" s="204"/>
      <c r="AM10" s="204"/>
      <c r="AN10" s="204"/>
      <c r="AO10" s="204"/>
      <c r="AP10" s="204"/>
      <c r="AQ10" s="204"/>
      <c r="AR10" s="204"/>
      <c r="AS10" s="204"/>
      <c r="AT10" s="204"/>
      <c r="AU10" s="204"/>
      <c r="AV10" s="204"/>
      <c r="AW10" s="204"/>
      <c r="AX10" s="204"/>
      <c r="AY10" s="204"/>
      <c r="AZ10" s="204"/>
      <c r="BA10" s="204"/>
      <c r="BB10" s="204"/>
      <c r="BC10" s="204"/>
      <c r="BD10" s="204"/>
      <c r="BE10" s="204"/>
      <c r="BF10" s="204"/>
      <c r="BG10" s="204"/>
      <c r="BH10" s="204"/>
      <c r="BI10" s="204"/>
      <c r="BJ10" s="204"/>
      <c r="BK10" s="204"/>
      <c r="BL10" s="204"/>
      <c r="BM10" s="204"/>
      <c r="BN10" s="204"/>
      <c r="BO10" s="204"/>
      <c r="BP10" s="204"/>
      <c r="BQ10" s="204"/>
      <c r="BR10" s="204"/>
      <c r="BS10" s="204"/>
      <c r="BT10" s="204"/>
      <c r="BU10" s="204"/>
      <c r="BV10" s="204"/>
      <c r="BW10" s="204"/>
      <c r="BX10" s="204"/>
      <c r="BY10" s="204"/>
      <c r="BZ10" s="204"/>
      <c r="CA10" s="204"/>
      <c r="CB10" s="204"/>
      <c r="CC10" s="204"/>
      <c r="CD10" s="204"/>
      <c r="CE10" s="204"/>
      <c r="CF10" s="204"/>
      <c r="CG10" s="204"/>
      <c r="CH10" s="204"/>
      <c r="CI10" s="204"/>
      <c r="CJ10" s="204"/>
      <c r="CK10" s="204"/>
      <c r="CL10" s="204"/>
      <c r="CM10" s="204"/>
      <c r="CN10" s="204"/>
      <c r="CO10" s="204"/>
      <c r="CP10" s="204"/>
      <c r="CQ10" s="204"/>
      <c r="CR10" s="204"/>
      <c r="CS10" s="204"/>
      <c r="CT10" s="204"/>
      <c r="CU10" s="204"/>
      <c r="CV10" s="204"/>
      <c r="CW10" s="204"/>
      <c r="CX10" s="204"/>
      <c r="CY10" s="204"/>
      <c r="CZ10" s="204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A9:CZ9" xr:uid="{00000000-0009-0000-0000-000001000000}"/>
  <mergeCells count="27">
    <mergeCell ref="AD6:AF6"/>
    <mergeCell ref="AL6:AQ6"/>
    <mergeCell ref="CG6:CS6"/>
    <mergeCell ref="CT6:CV6"/>
    <mergeCell ref="CX6:CZ6"/>
    <mergeCell ref="AR6:AU6"/>
    <mergeCell ref="AV6:AY6"/>
    <mergeCell ref="AZ6:BB6"/>
    <mergeCell ref="BG6:BI6"/>
    <mergeCell ref="BQ6:BS6"/>
    <mergeCell ref="BU6:BY6"/>
    <mergeCell ref="CA6:CC6"/>
    <mergeCell ref="H6:K6"/>
    <mergeCell ref="M6:N6"/>
    <mergeCell ref="O6:R6"/>
    <mergeCell ref="S6:W6"/>
    <mergeCell ref="X6:Y6"/>
    <mergeCell ref="BT5:CB5"/>
    <mergeCell ref="CD5:CV5"/>
    <mergeCell ref="CW5:CZ5"/>
    <mergeCell ref="C5:D5"/>
    <mergeCell ref="E5:F5"/>
    <mergeCell ref="H5:Y5"/>
    <mergeCell ref="Z5:AF5"/>
    <mergeCell ref="AG5:BB5"/>
    <mergeCell ref="BC5:BI5"/>
    <mergeCell ref="BJ5:BS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G1000"/>
  <sheetViews>
    <sheetView workbookViewId="0">
      <pane ySplit="7" topLeftCell="A8" activePane="bottomLeft" state="frozen"/>
      <selection pane="bottomLeft" activeCell="B9" sqref="B9"/>
    </sheetView>
  </sheetViews>
  <sheetFormatPr defaultColWidth="12.6640625" defaultRowHeight="15" customHeight="1"/>
  <cols>
    <col min="1" max="1" width="18.6640625" customWidth="1"/>
    <col min="2" max="2" width="7" customWidth="1"/>
    <col min="3" max="3" width="21" customWidth="1"/>
    <col min="4" max="6" width="22" customWidth="1"/>
    <col min="7" max="7" width="37.44140625" customWidth="1"/>
    <col min="8" max="8" width="15.44140625" customWidth="1"/>
    <col min="9" max="9" width="19" customWidth="1"/>
    <col min="10" max="10" width="23.109375" customWidth="1"/>
    <col min="11" max="11" width="18.33203125" customWidth="1"/>
    <col min="12" max="12" width="20.33203125" customWidth="1"/>
    <col min="13" max="13" width="17" customWidth="1"/>
    <col min="14" max="14" width="18" customWidth="1"/>
    <col min="15" max="15" width="17.44140625" customWidth="1"/>
    <col min="16" max="16" width="18.109375" customWidth="1"/>
    <col min="17" max="17" width="23.109375" customWidth="1"/>
    <col min="18" max="18" width="25" customWidth="1"/>
    <col min="19" max="19" width="29.33203125" customWidth="1"/>
    <col min="20" max="20" width="31.109375" customWidth="1"/>
    <col min="21" max="22" width="25.109375" customWidth="1"/>
    <col min="23" max="23" width="24.44140625" customWidth="1"/>
    <col min="24" max="24" width="20.44140625" customWidth="1"/>
    <col min="25" max="25" width="21.88671875" customWidth="1"/>
    <col min="26" max="26" width="25" customWidth="1"/>
    <col min="27" max="27" width="24.109375" customWidth="1"/>
    <col min="28" max="28" width="24.88671875" customWidth="1"/>
    <col min="29" max="29" width="24" customWidth="1"/>
    <col min="30" max="30" width="20.6640625" customWidth="1"/>
    <col min="31" max="31" width="24.109375" customWidth="1"/>
    <col min="32" max="32" width="27.88671875" customWidth="1"/>
    <col min="33" max="33" width="24.88671875" customWidth="1"/>
    <col min="34" max="34" width="32.109375" customWidth="1"/>
    <col min="35" max="35" width="33.88671875" customWidth="1"/>
    <col min="36" max="36" width="31.109375" customWidth="1"/>
    <col min="37" max="38" width="25.109375" customWidth="1"/>
    <col min="39" max="39" width="24.109375" customWidth="1"/>
    <col min="40" max="40" width="23.6640625" customWidth="1"/>
    <col min="41" max="41" width="26.33203125" customWidth="1"/>
    <col min="42" max="42" width="25" customWidth="1"/>
    <col min="43" max="43" width="25.33203125" customWidth="1"/>
    <col min="44" max="44" width="25.88671875" customWidth="1"/>
    <col min="45" max="45" width="27.109375" customWidth="1"/>
    <col min="46" max="46" width="25.88671875" customWidth="1"/>
    <col min="47" max="47" width="24.109375" customWidth="1"/>
    <col min="48" max="48" width="29.6640625" customWidth="1"/>
    <col min="49" max="49" width="24.88671875" customWidth="1"/>
    <col min="50" max="50" width="32.109375" customWidth="1"/>
    <col min="51" max="51" width="33.88671875" customWidth="1"/>
    <col min="52" max="55" width="31.109375" customWidth="1"/>
    <col min="56" max="57" width="25.109375" customWidth="1"/>
    <col min="58" max="58" width="24.109375" customWidth="1"/>
    <col min="59" max="59" width="23.6640625" customWidth="1"/>
    <col min="60" max="60" width="26.33203125" customWidth="1"/>
    <col min="61" max="61" width="25" customWidth="1"/>
    <col min="62" max="62" width="25.33203125" customWidth="1"/>
    <col min="63" max="63" width="27.88671875" customWidth="1"/>
    <col min="64" max="64" width="24.88671875" customWidth="1"/>
    <col min="65" max="65" width="36.44140625" customWidth="1"/>
    <col min="66" max="66" width="31.109375" customWidth="1"/>
    <col min="67" max="68" width="25.109375" customWidth="1"/>
    <col min="69" max="69" width="24.109375" customWidth="1"/>
    <col min="70" max="70" width="23.6640625" customWidth="1"/>
    <col min="71" max="71" width="26.33203125" customWidth="1"/>
    <col min="72" max="72" width="25" customWidth="1"/>
    <col min="73" max="73" width="25.33203125" customWidth="1"/>
    <col min="74" max="75" width="18.77734375" customWidth="1"/>
    <col min="76" max="76" width="14.21875" customWidth="1"/>
    <col min="77" max="77" width="18.44140625" customWidth="1"/>
    <col min="78" max="78" width="14.21875" customWidth="1"/>
    <col min="79" max="79" width="17.88671875" customWidth="1"/>
    <col min="80" max="80" width="27.88671875" customWidth="1"/>
    <col min="81" max="81" width="24.88671875" customWidth="1"/>
    <col min="82" max="85" width="33.6640625" customWidth="1"/>
  </cols>
  <sheetData>
    <row r="1" spans="1:85" ht="15.75" customHeight="1">
      <c r="A1" s="98" t="s">
        <v>221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99"/>
      <c r="AQ1" s="99"/>
      <c r="AR1" s="99"/>
      <c r="AS1" s="99"/>
      <c r="AT1" s="99"/>
      <c r="AU1" s="99"/>
      <c r="AV1" s="99"/>
      <c r="AW1" s="37"/>
      <c r="AX1" s="99"/>
      <c r="AY1" s="99"/>
      <c r="AZ1" s="99"/>
      <c r="BA1" s="99"/>
      <c r="BB1" s="99"/>
      <c r="BC1" s="99"/>
      <c r="BD1" s="99"/>
      <c r="BE1" s="99"/>
      <c r="BF1" s="99"/>
      <c r="BG1" s="99"/>
      <c r="BH1" s="37"/>
      <c r="BI1" s="37"/>
      <c r="BJ1" s="37"/>
      <c r="BK1" s="37"/>
      <c r="BL1" s="2"/>
      <c r="BM1" s="4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4"/>
      <c r="CE1" s="4"/>
      <c r="CF1" s="4"/>
      <c r="CG1" s="4"/>
    </row>
    <row r="2" spans="1:85" ht="15.75" customHeight="1">
      <c r="A2" s="98" t="s">
        <v>1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/>
      <c r="AR2" s="99"/>
      <c r="AS2" s="99"/>
      <c r="AT2" s="99"/>
      <c r="AU2" s="99"/>
      <c r="AV2" s="99"/>
      <c r="AW2" s="37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37"/>
      <c r="BI2" s="37"/>
      <c r="BJ2" s="37"/>
      <c r="BK2" s="37"/>
      <c r="BL2" s="2"/>
      <c r="BM2" s="4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4"/>
      <c r="CE2" s="4"/>
      <c r="CF2" s="4"/>
      <c r="CG2" s="4"/>
    </row>
    <row r="3" spans="1:85" ht="15.75" customHeight="1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37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37"/>
      <c r="BI3" s="37"/>
      <c r="BJ3" s="37"/>
      <c r="BK3" s="37"/>
      <c r="BL3" s="2"/>
      <c r="BM3" s="4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4"/>
      <c r="CE3" s="4"/>
      <c r="CF3" s="4"/>
      <c r="CG3" s="4"/>
    </row>
    <row r="4" spans="1:85" ht="15.75" customHeight="1">
      <c r="A4" s="99" t="s">
        <v>222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99"/>
      <c r="AP4" s="99"/>
      <c r="AQ4" s="99"/>
      <c r="AR4" s="99"/>
      <c r="AS4" s="99"/>
      <c r="AT4" s="99"/>
      <c r="AU4" s="99"/>
      <c r="AV4" s="99"/>
      <c r="AW4" s="37"/>
      <c r="AX4" s="99"/>
      <c r="AY4" s="99"/>
      <c r="AZ4" s="99"/>
      <c r="BA4" s="99"/>
      <c r="BB4" s="99"/>
      <c r="BC4" s="99"/>
      <c r="BD4" s="99"/>
      <c r="BE4" s="99"/>
      <c r="BF4" s="99"/>
      <c r="BG4" s="99"/>
      <c r="BH4" s="37"/>
      <c r="BI4" s="37"/>
      <c r="BJ4" s="37"/>
      <c r="BK4" s="37"/>
      <c r="BL4" s="2"/>
      <c r="BM4" s="4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4"/>
      <c r="CE4" s="4"/>
      <c r="CF4" s="4"/>
      <c r="CG4" s="4"/>
    </row>
    <row r="5" spans="1:85" ht="34.5" customHeight="1">
      <c r="A5" s="49"/>
      <c r="B5" s="100"/>
      <c r="C5" s="174" t="s">
        <v>3</v>
      </c>
      <c r="D5" s="167"/>
      <c r="E5" s="168" t="s">
        <v>4</v>
      </c>
      <c r="F5" s="170"/>
      <c r="G5" s="174" t="s">
        <v>5</v>
      </c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7"/>
      <c r="S5" s="175" t="s">
        <v>6</v>
      </c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7"/>
      <c r="AI5" s="101"/>
      <c r="AJ5" s="102"/>
      <c r="AK5" s="102"/>
      <c r="AL5" s="102"/>
      <c r="AM5" s="102"/>
      <c r="AN5" s="102"/>
      <c r="AO5" s="102"/>
      <c r="AP5" s="168" t="s">
        <v>8</v>
      </c>
      <c r="AQ5" s="169"/>
      <c r="AR5" s="169"/>
      <c r="AS5" s="169"/>
      <c r="AT5" s="169"/>
      <c r="AU5" s="169"/>
      <c r="AV5" s="167"/>
      <c r="AW5" s="52"/>
      <c r="AX5" s="103"/>
      <c r="AY5" s="103"/>
      <c r="AZ5" s="103"/>
      <c r="BA5" s="166" t="s">
        <v>9</v>
      </c>
      <c r="BB5" s="169"/>
      <c r="BC5" s="169"/>
      <c r="BD5" s="169"/>
      <c r="BE5" s="169"/>
      <c r="BF5" s="169"/>
      <c r="BG5" s="169"/>
      <c r="BH5" s="167"/>
      <c r="BI5" s="104"/>
      <c r="BJ5" s="104"/>
      <c r="BK5" s="104"/>
      <c r="BL5" s="105"/>
      <c r="BM5" s="106"/>
      <c r="BN5" s="103"/>
      <c r="BO5" s="103"/>
      <c r="BP5" s="103"/>
      <c r="BQ5" s="166" t="s">
        <v>9</v>
      </c>
      <c r="BR5" s="169"/>
      <c r="BS5" s="169"/>
      <c r="BT5" s="169"/>
      <c r="BU5" s="169"/>
      <c r="BV5" s="169"/>
      <c r="BW5" s="169"/>
      <c r="BX5" s="169"/>
      <c r="BY5" s="169"/>
      <c r="BZ5" s="169"/>
      <c r="CA5" s="169"/>
      <c r="CB5" s="169"/>
      <c r="CC5" s="169"/>
      <c r="CD5" s="167"/>
      <c r="CE5" s="104"/>
      <c r="CF5" s="104"/>
      <c r="CG5" s="104"/>
    </row>
    <row r="6" spans="1:85" ht="54.75" customHeight="1">
      <c r="A6" s="53"/>
      <c r="B6" s="104" t="s">
        <v>10</v>
      </c>
      <c r="C6" s="107" t="s">
        <v>11</v>
      </c>
      <c r="D6" s="107" t="s">
        <v>12</v>
      </c>
      <c r="E6" s="108" t="s">
        <v>13</v>
      </c>
      <c r="F6" s="108" t="s">
        <v>14</v>
      </c>
      <c r="G6" s="109" t="s">
        <v>15</v>
      </c>
      <c r="H6" s="174" t="s">
        <v>16</v>
      </c>
      <c r="I6" s="169"/>
      <c r="J6" s="169"/>
      <c r="K6" s="169"/>
      <c r="L6" s="170"/>
      <c r="M6" s="186" t="s">
        <v>17</v>
      </c>
      <c r="N6" s="172"/>
      <c r="O6" s="172"/>
      <c r="P6" s="172"/>
      <c r="Q6" s="172"/>
      <c r="R6" s="173"/>
      <c r="S6" s="57" t="s">
        <v>18</v>
      </c>
      <c r="T6" s="57" t="s">
        <v>19</v>
      </c>
      <c r="U6" s="57" t="s">
        <v>20</v>
      </c>
      <c r="V6" s="57" t="s">
        <v>21</v>
      </c>
      <c r="W6" s="175" t="s">
        <v>22</v>
      </c>
      <c r="X6" s="169"/>
      <c r="Y6" s="169"/>
      <c r="Z6" s="169"/>
      <c r="AA6" s="170"/>
      <c r="AB6" s="175" t="s">
        <v>23</v>
      </c>
      <c r="AC6" s="169"/>
      <c r="AD6" s="169"/>
      <c r="AE6" s="170"/>
      <c r="AF6" s="176" t="s">
        <v>24</v>
      </c>
      <c r="AG6" s="172"/>
      <c r="AH6" s="173"/>
      <c r="AI6" s="57" t="s">
        <v>28</v>
      </c>
      <c r="AJ6" s="188" t="s">
        <v>223</v>
      </c>
      <c r="AK6" s="189"/>
      <c r="AL6" s="189"/>
      <c r="AM6" s="190"/>
      <c r="AN6" s="57" t="s">
        <v>20</v>
      </c>
      <c r="AO6" s="57" t="s">
        <v>21</v>
      </c>
      <c r="AP6" s="175" t="s">
        <v>22</v>
      </c>
      <c r="AQ6" s="169"/>
      <c r="AR6" s="169"/>
      <c r="AS6" s="169"/>
      <c r="AT6" s="170"/>
      <c r="AU6" s="176" t="s">
        <v>30</v>
      </c>
      <c r="AV6" s="172"/>
      <c r="AW6" s="173"/>
      <c r="AX6" s="110" t="s">
        <v>31</v>
      </c>
      <c r="AY6" s="110" t="s">
        <v>20</v>
      </c>
      <c r="AZ6" s="110" t="s">
        <v>21</v>
      </c>
      <c r="BA6" s="186" t="s">
        <v>22</v>
      </c>
      <c r="BB6" s="172"/>
      <c r="BC6" s="172"/>
      <c r="BD6" s="172"/>
      <c r="BE6" s="173"/>
      <c r="BF6" s="174" t="s">
        <v>30</v>
      </c>
      <c r="BG6" s="169"/>
      <c r="BH6" s="167"/>
      <c r="BI6" s="104"/>
      <c r="BJ6" s="104"/>
      <c r="BK6" s="104"/>
      <c r="BL6" s="111"/>
      <c r="BM6" s="105"/>
      <c r="BN6" s="110" t="s">
        <v>224</v>
      </c>
      <c r="BO6" s="110" t="s">
        <v>20</v>
      </c>
      <c r="BP6" s="110" t="s">
        <v>21</v>
      </c>
      <c r="BQ6" s="174" t="s">
        <v>22</v>
      </c>
      <c r="BR6" s="169"/>
      <c r="BS6" s="169"/>
      <c r="BT6" s="169"/>
      <c r="BU6" s="170"/>
      <c r="BV6" s="187">
        <v>2023</v>
      </c>
      <c r="BW6" s="170"/>
      <c r="BX6" s="112"/>
      <c r="BY6" s="112"/>
      <c r="BZ6" s="112"/>
      <c r="CA6" s="112"/>
      <c r="CB6" s="174" t="s">
        <v>30</v>
      </c>
      <c r="CC6" s="169"/>
      <c r="CD6" s="167"/>
      <c r="CE6" s="104"/>
      <c r="CF6" s="104"/>
      <c r="CG6" s="104"/>
    </row>
    <row r="7" spans="1:85" ht="34.5" customHeight="1">
      <c r="A7" s="63"/>
      <c r="B7" s="113"/>
      <c r="C7" s="114"/>
      <c r="D7" s="114"/>
      <c r="E7" s="115"/>
      <c r="F7" s="115"/>
      <c r="G7" s="116"/>
      <c r="H7" s="23" t="s">
        <v>32</v>
      </c>
      <c r="I7" s="23" t="s">
        <v>33</v>
      </c>
      <c r="J7" s="23" t="s">
        <v>34</v>
      </c>
      <c r="K7" s="23" t="s">
        <v>35</v>
      </c>
      <c r="L7" s="117" t="s">
        <v>225</v>
      </c>
      <c r="M7" s="23" t="s">
        <v>37</v>
      </c>
      <c r="N7" s="23" t="s">
        <v>38</v>
      </c>
      <c r="O7" s="23" t="s">
        <v>39</v>
      </c>
      <c r="P7" s="117" t="s">
        <v>40</v>
      </c>
      <c r="Q7" s="23" t="s">
        <v>41</v>
      </c>
      <c r="R7" s="23" t="s">
        <v>42</v>
      </c>
      <c r="S7" s="118"/>
      <c r="T7" s="118"/>
      <c r="U7" s="118"/>
      <c r="V7" s="118"/>
      <c r="W7" s="25" t="s">
        <v>37</v>
      </c>
      <c r="X7" s="25" t="s">
        <v>38</v>
      </c>
      <c r="Y7" s="25" t="s">
        <v>39</v>
      </c>
      <c r="Z7" s="101" t="s">
        <v>40</v>
      </c>
      <c r="AA7" s="101" t="s">
        <v>43</v>
      </c>
      <c r="AB7" s="25" t="s">
        <v>44</v>
      </c>
      <c r="AC7" s="57" t="s">
        <v>45</v>
      </c>
      <c r="AD7" s="101" t="s">
        <v>43</v>
      </c>
      <c r="AE7" s="25" t="s">
        <v>46</v>
      </c>
      <c r="AF7" s="57" t="s">
        <v>44</v>
      </c>
      <c r="AG7" s="57" t="s">
        <v>45</v>
      </c>
      <c r="AH7" s="108" t="s">
        <v>47</v>
      </c>
      <c r="AI7" s="118"/>
      <c r="AJ7" s="119" t="s">
        <v>226</v>
      </c>
      <c r="AK7" s="119" t="s">
        <v>50</v>
      </c>
      <c r="AL7" s="119" t="s">
        <v>49</v>
      </c>
      <c r="AM7" s="119" t="s">
        <v>227</v>
      </c>
      <c r="AN7" s="118"/>
      <c r="AO7" s="118"/>
      <c r="AP7" s="25" t="s">
        <v>37</v>
      </c>
      <c r="AQ7" s="25" t="s">
        <v>38</v>
      </c>
      <c r="AR7" s="25" t="s">
        <v>39</v>
      </c>
      <c r="AS7" s="101" t="s">
        <v>40</v>
      </c>
      <c r="AT7" s="101" t="s">
        <v>43</v>
      </c>
      <c r="AU7" s="25" t="s">
        <v>51</v>
      </c>
      <c r="AV7" s="57" t="s">
        <v>52</v>
      </c>
      <c r="AW7" s="81" t="s">
        <v>53</v>
      </c>
      <c r="AX7" s="120"/>
      <c r="AY7" s="120"/>
      <c r="AZ7" s="120"/>
      <c r="BA7" s="23" t="s">
        <v>37</v>
      </c>
      <c r="BB7" s="23" t="s">
        <v>38</v>
      </c>
      <c r="BC7" s="23" t="s">
        <v>39</v>
      </c>
      <c r="BD7" s="117" t="s">
        <v>40</v>
      </c>
      <c r="BE7" s="117" t="s">
        <v>43</v>
      </c>
      <c r="BF7" s="23" t="s">
        <v>51</v>
      </c>
      <c r="BG7" s="110" t="s">
        <v>45</v>
      </c>
      <c r="BH7" s="110" t="s">
        <v>228</v>
      </c>
      <c r="BI7" s="104"/>
      <c r="BJ7" s="104"/>
      <c r="BK7" s="104"/>
      <c r="BL7" s="121" t="s">
        <v>52</v>
      </c>
      <c r="BM7" s="122" t="s">
        <v>53</v>
      </c>
      <c r="BN7" s="123"/>
      <c r="BO7" s="123"/>
      <c r="BP7" s="123"/>
      <c r="BQ7" s="124" t="s">
        <v>37</v>
      </c>
      <c r="BR7" s="124" t="s">
        <v>38</v>
      </c>
      <c r="BS7" s="124" t="s">
        <v>39</v>
      </c>
      <c r="BT7" s="125" t="s">
        <v>40</v>
      </c>
      <c r="BU7" s="125" t="s">
        <v>229</v>
      </c>
      <c r="BV7" s="112" t="s">
        <v>230</v>
      </c>
      <c r="BW7" s="112" t="s">
        <v>231</v>
      </c>
      <c r="BX7" s="112" t="s">
        <v>230</v>
      </c>
      <c r="BY7" s="112" t="s">
        <v>231</v>
      </c>
      <c r="BZ7" s="112" t="s">
        <v>230</v>
      </c>
      <c r="CA7" s="112" t="s">
        <v>231</v>
      </c>
      <c r="CB7" s="23" t="s">
        <v>51</v>
      </c>
      <c r="CC7" s="110" t="s">
        <v>45</v>
      </c>
      <c r="CD7" s="110" t="s">
        <v>228</v>
      </c>
      <c r="CE7" s="104"/>
      <c r="CF7" s="104"/>
      <c r="CG7" s="104"/>
    </row>
    <row r="8" spans="1:85" ht="61.5" hidden="1" customHeight="1">
      <c r="A8" s="126" t="s">
        <v>232</v>
      </c>
      <c r="B8" s="96"/>
      <c r="C8" s="96" t="s">
        <v>233</v>
      </c>
      <c r="D8" s="96" t="s">
        <v>234</v>
      </c>
      <c r="E8" s="96" t="s">
        <v>235</v>
      </c>
      <c r="F8" s="96" t="s">
        <v>236</v>
      </c>
      <c r="G8" s="96" t="s">
        <v>237</v>
      </c>
      <c r="H8" s="191" t="s">
        <v>238</v>
      </c>
      <c r="I8" s="169"/>
      <c r="J8" s="169"/>
      <c r="K8" s="169"/>
      <c r="L8" s="167"/>
      <c r="M8" s="191" t="s">
        <v>239</v>
      </c>
      <c r="N8" s="169"/>
      <c r="O8" s="169"/>
      <c r="P8" s="167"/>
      <c r="Q8" s="96" t="s">
        <v>240</v>
      </c>
      <c r="R8" s="96" t="s">
        <v>241</v>
      </c>
      <c r="S8" s="96" t="s">
        <v>242</v>
      </c>
      <c r="T8" s="96" t="s">
        <v>243</v>
      </c>
      <c r="U8" s="96" t="s">
        <v>244</v>
      </c>
      <c r="V8" s="96" t="s">
        <v>245</v>
      </c>
      <c r="W8" s="191" t="s">
        <v>246</v>
      </c>
      <c r="X8" s="169"/>
      <c r="Y8" s="169"/>
      <c r="Z8" s="169"/>
      <c r="AA8" s="167"/>
      <c r="AB8" s="191" t="s">
        <v>247</v>
      </c>
      <c r="AC8" s="169"/>
      <c r="AD8" s="167"/>
      <c r="AE8" s="96" t="s">
        <v>248</v>
      </c>
      <c r="AF8" s="96" t="s">
        <v>249</v>
      </c>
      <c r="AG8" s="96" t="s">
        <v>250</v>
      </c>
      <c r="AH8" s="96" t="s">
        <v>251</v>
      </c>
      <c r="AI8" s="96" t="s">
        <v>252</v>
      </c>
      <c r="AJ8" s="96" t="s">
        <v>253</v>
      </c>
      <c r="AK8" s="96"/>
      <c r="AL8" s="96"/>
      <c r="AM8" s="96"/>
      <c r="AN8" s="96" t="s">
        <v>254</v>
      </c>
      <c r="AO8" s="96" t="s">
        <v>255</v>
      </c>
      <c r="AP8" s="191" t="s">
        <v>256</v>
      </c>
      <c r="AQ8" s="169"/>
      <c r="AR8" s="169"/>
      <c r="AS8" s="169"/>
      <c r="AT8" s="167"/>
      <c r="AU8" s="96" t="s">
        <v>257</v>
      </c>
      <c r="AV8" s="96" t="s">
        <v>250</v>
      </c>
      <c r="AW8" s="96" t="s">
        <v>258</v>
      </c>
      <c r="AX8" s="96" t="s">
        <v>259</v>
      </c>
      <c r="AY8" s="96" t="s">
        <v>260</v>
      </c>
      <c r="AZ8" s="96" t="s">
        <v>261</v>
      </c>
      <c r="BA8" s="191" t="s">
        <v>262</v>
      </c>
      <c r="BB8" s="169"/>
      <c r="BC8" s="169"/>
      <c r="BD8" s="169"/>
      <c r="BE8" s="167"/>
      <c r="BF8" s="96" t="s">
        <v>257</v>
      </c>
      <c r="BG8" s="96" t="s">
        <v>250</v>
      </c>
      <c r="BH8" s="96" t="s">
        <v>263</v>
      </c>
      <c r="BI8" s="33"/>
      <c r="BJ8" s="33"/>
      <c r="BK8" s="33"/>
      <c r="BL8" s="95" t="s">
        <v>250</v>
      </c>
      <c r="BM8" s="96" t="s">
        <v>258</v>
      </c>
      <c r="BN8" s="96" t="s">
        <v>264</v>
      </c>
      <c r="BO8" s="96" t="s">
        <v>260</v>
      </c>
      <c r="BP8" s="96" t="s">
        <v>265</v>
      </c>
      <c r="BQ8" s="191" t="s">
        <v>262</v>
      </c>
      <c r="BR8" s="169"/>
      <c r="BS8" s="169"/>
      <c r="BT8" s="169"/>
      <c r="BU8" s="167"/>
      <c r="BV8" s="95"/>
      <c r="BW8" s="95"/>
      <c r="BX8" s="95"/>
      <c r="BY8" s="95"/>
      <c r="BZ8" s="95"/>
      <c r="CA8" s="95"/>
      <c r="CB8" s="95" t="s">
        <v>266</v>
      </c>
      <c r="CC8" s="95" t="s">
        <v>250</v>
      </c>
      <c r="CD8" s="96" t="s">
        <v>263</v>
      </c>
      <c r="CE8" s="33"/>
      <c r="CF8" s="33"/>
      <c r="CG8" s="33"/>
    </row>
    <row r="9" spans="1:85" ht="15.75" hidden="1" customHeight="1">
      <c r="A9" s="126" t="s">
        <v>161</v>
      </c>
      <c r="B9" s="96"/>
      <c r="C9" s="96" t="s">
        <v>162</v>
      </c>
      <c r="D9" s="96" t="s">
        <v>267</v>
      </c>
      <c r="E9" s="96" t="s">
        <v>164</v>
      </c>
      <c r="F9" s="96" t="s">
        <v>165</v>
      </c>
      <c r="G9" s="96" t="s">
        <v>268</v>
      </c>
      <c r="H9" s="96" t="s">
        <v>173</v>
      </c>
      <c r="I9" s="96" t="s">
        <v>174</v>
      </c>
      <c r="J9" s="96" t="s">
        <v>175</v>
      </c>
      <c r="K9" s="96" t="s">
        <v>269</v>
      </c>
      <c r="L9" s="96" t="s">
        <v>270</v>
      </c>
      <c r="M9" s="96" t="s">
        <v>167</v>
      </c>
      <c r="N9" s="96" t="s">
        <v>168</v>
      </c>
      <c r="O9" s="96" t="s">
        <v>169</v>
      </c>
      <c r="P9" s="96" t="s">
        <v>271</v>
      </c>
      <c r="Q9" s="96" t="s">
        <v>272</v>
      </c>
      <c r="R9" s="96" t="s">
        <v>273</v>
      </c>
      <c r="S9" s="35" t="s">
        <v>274</v>
      </c>
      <c r="T9" s="35" t="s">
        <v>275</v>
      </c>
      <c r="U9" s="35" t="s">
        <v>276</v>
      </c>
      <c r="V9" s="35" t="s">
        <v>277</v>
      </c>
      <c r="W9" s="96" t="s">
        <v>278</v>
      </c>
      <c r="X9" s="96" t="s">
        <v>279</v>
      </c>
      <c r="Y9" s="96" t="s">
        <v>280</v>
      </c>
      <c r="Z9" s="96" t="s">
        <v>281</v>
      </c>
      <c r="AA9" s="96" t="s">
        <v>282</v>
      </c>
      <c r="AB9" s="35" t="s">
        <v>283</v>
      </c>
      <c r="AC9" s="35" t="s">
        <v>277</v>
      </c>
      <c r="AD9" s="35" t="s">
        <v>284</v>
      </c>
      <c r="AE9" s="35" t="s">
        <v>277</v>
      </c>
      <c r="AF9" s="35" t="s">
        <v>283</v>
      </c>
      <c r="AG9" s="35" t="s">
        <v>277</v>
      </c>
      <c r="AH9" s="35" t="s">
        <v>285</v>
      </c>
      <c r="AI9" s="35" t="s">
        <v>286</v>
      </c>
      <c r="AJ9" s="35" t="s">
        <v>287</v>
      </c>
      <c r="AK9" s="35"/>
      <c r="AL9" s="35"/>
      <c r="AM9" s="35"/>
      <c r="AN9" s="35" t="s">
        <v>288</v>
      </c>
      <c r="AO9" s="35" t="s">
        <v>289</v>
      </c>
      <c r="AP9" s="96" t="s">
        <v>290</v>
      </c>
      <c r="AQ9" s="96" t="s">
        <v>291</v>
      </c>
      <c r="AR9" s="96" t="s">
        <v>292</v>
      </c>
      <c r="AS9" s="96" t="s">
        <v>293</v>
      </c>
      <c r="AT9" s="96" t="s">
        <v>294</v>
      </c>
      <c r="AU9" s="96" t="s">
        <v>295</v>
      </c>
      <c r="AV9" s="96" t="s">
        <v>296</v>
      </c>
      <c r="AW9" s="96" t="s">
        <v>297</v>
      </c>
      <c r="AX9" s="35" t="s">
        <v>298</v>
      </c>
      <c r="AY9" s="35" t="s">
        <v>299</v>
      </c>
      <c r="AZ9" s="35" t="s">
        <v>300</v>
      </c>
      <c r="BA9" s="96" t="s">
        <v>301</v>
      </c>
      <c r="BB9" s="96" t="s">
        <v>302</v>
      </c>
      <c r="BC9" s="96" t="s">
        <v>303</v>
      </c>
      <c r="BD9" s="96" t="s">
        <v>304</v>
      </c>
      <c r="BE9" s="96" t="s">
        <v>305</v>
      </c>
      <c r="BF9" s="96" t="s">
        <v>306</v>
      </c>
      <c r="BG9" s="96" t="s">
        <v>307</v>
      </c>
      <c r="BH9" s="96" t="s">
        <v>308</v>
      </c>
      <c r="BI9" s="33"/>
      <c r="BJ9" s="33"/>
      <c r="BK9" s="33"/>
      <c r="BL9" s="96" t="s">
        <v>309</v>
      </c>
      <c r="BM9" s="96" t="s">
        <v>310</v>
      </c>
      <c r="BN9" s="35" t="s">
        <v>311</v>
      </c>
      <c r="BO9" s="35" t="s">
        <v>312</v>
      </c>
      <c r="BP9" s="35" t="s">
        <v>313</v>
      </c>
      <c r="BQ9" s="96" t="s">
        <v>314</v>
      </c>
      <c r="BR9" s="96" t="s">
        <v>315</v>
      </c>
      <c r="BS9" s="96" t="s">
        <v>316</v>
      </c>
      <c r="BT9" s="96" t="s">
        <v>317</v>
      </c>
      <c r="BU9" s="96" t="s">
        <v>318</v>
      </c>
      <c r="BV9" s="96"/>
      <c r="BW9" s="96"/>
      <c r="BX9" s="96"/>
      <c r="BY9" s="96"/>
      <c r="BZ9" s="96"/>
      <c r="CA9" s="96"/>
      <c r="CB9" s="96" t="s">
        <v>319</v>
      </c>
      <c r="CC9" s="96" t="s">
        <v>320</v>
      </c>
      <c r="CD9" s="96" t="s">
        <v>321</v>
      </c>
      <c r="CE9" s="33"/>
      <c r="CF9" s="33"/>
      <c r="CG9" s="33"/>
    </row>
    <row r="10" spans="1:85" ht="73.5" hidden="1" customHeight="1">
      <c r="A10" s="128" t="s">
        <v>322</v>
      </c>
      <c r="B10" s="28"/>
      <c r="C10" s="28"/>
      <c r="D10" s="28"/>
      <c r="E10" s="28" t="s">
        <v>323</v>
      </c>
      <c r="F10" s="28" t="s">
        <v>323</v>
      </c>
      <c r="G10" s="191" t="s">
        <v>324</v>
      </c>
      <c r="H10" s="169"/>
      <c r="I10" s="169"/>
      <c r="J10" s="169"/>
      <c r="K10" s="169"/>
      <c r="L10" s="167"/>
      <c r="M10" s="191" t="s">
        <v>324</v>
      </c>
      <c r="N10" s="169"/>
      <c r="O10" s="169"/>
      <c r="P10" s="169"/>
      <c r="Q10" s="169"/>
      <c r="R10" s="167"/>
      <c r="S10" s="28" t="s">
        <v>325</v>
      </c>
      <c r="T10" s="28" t="s">
        <v>326</v>
      </c>
      <c r="U10" s="28" t="s">
        <v>326</v>
      </c>
      <c r="V10" s="28" t="s">
        <v>326</v>
      </c>
      <c r="W10" s="28" t="s">
        <v>326</v>
      </c>
      <c r="X10" s="28" t="s">
        <v>326</v>
      </c>
      <c r="Y10" s="29" t="s">
        <v>326</v>
      </c>
      <c r="Z10" s="28" t="s">
        <v>326</v>
      </c>
      <c r="AA10" s="28" t="s">
        <v>326</v>
      </c>
      <c r="AB10" s="28" t="s">
        <v>326</v>
      </c>
      <c r="AC10" s="28" t="s">
        <v>326</v>
      </c>
      <c r="AD10" s="28" t="s">
        <v>326</v>
      </c>
      <c r="AE10" s="28" t="s">
        <v>326</v>
      </c>
      <c r="AF10" s="28" t="s">
        <v>326</v>
      </c>
      <c r="AG10" s="28" t="s">
        <v>326</v>
      </c>
      <c r="AH10" s="28" t="s">
        <v>326</v>
      </c>
      <c r="AI10" s="28" t="s">
        <v>327</v>
      </c>
      <c r="AJ10" s="28" t="s">
        <v>327</v>
      </c>
      <c r="AK10" s="28"/>
      <c r="AL10" s="28"/>
      <c r="AM10" s="28"/>
      <c r="AN10" s="28" t="s">
        <v>327</v>
      </c>
      <c r="AO10" s="28" t="s">
        <v>327</v>
      </c>
      <c r="AP10" s="28" t="s">
        <v>327</v>
      </c>
      <c r="AQ10" s="28" t="s">
        <v>327</v>
      </c>
      <c r="AR10" s="28" t="s">
        <v>327</v>
      </c>
      <c r="AS10" s="28" t="s">
        <v>327</v>
      </c>
      <c r="AT10" s="28" t="s">
        <v>327</v>
      </c>
      <c r="AU10" s="28" t="s">
        <v>327</v>
      </c>
      <c r="AV10" s="28" t="s">
        <v>327</v>
      </c>
      <c r="AW10" s="28" t="s">
        <v>327</v>
      </c>
      <c r="AX10" s="28" t="s">
        <v>328</v>
      </c>
      <c r="AY10" s="28" t="s">
        <v>328</v>
      </c>
      <c r="AZ10" s="28" t="s">
        <v>328</v>
      </c>
      <c r="BA10" s="28" t="s">
        <v>328</v>
      </c>
      <c r="BB10" s="28" t="s">
        <v>328</v>
      </c>
      <c r="BC10" s="28" t="s">
        <v>328</v>
      </c>
      <c r="BD10" s="28" t="s">
        <v>328</v>
      </c>
      <c r="BE10" s="28" t="s">
        <v>328</v>
      </c>
      <c r="BF10" s="28" t="s">
        <v>328</v>
      </c>
      <c r="BG10" s="28" t="s">
        <v>328</v>
      </c>
      <c r="BH10" s="28" t="s">
        <v>328</v>
      </c>
      <c r="BI10" s="33"/>
      <c r="BJ10" s="33"/>
      <c r="BK10" s="33"/>
      <c r="BL10" s="96" t="s">
        <v>327</v>
      </c>
      <c r="BM10" s="96" t="s">
        <v>327</v>
      </c>
      <c r="BN10" s="96" t="s">
        <v>328</v>
      </c>
      <c r="BO10" s="96" t="s">
        <v>328</v>
      </c>
      <c r="BP10" s="96" t="s">
        <v>328</v>
      </c>
      <c r="BQ10" s="96" t="s">
        <v>328</v>
      </c>
      <c r="BR10" s="96" t="s">
        <v>328</v>
      </c>
      <c r="BS10" s="96" t="s">
        <v>328</v>
      </c>
      <c r="BT10" s="96" t="s">
        <v>328</v>
      </c>
      <c r="BU10" s="96" t="s">
        <v>328</v>
      </c>
      <c r="BV10" s="96"/>
      <c r="BW10" s="96"/>
      <c r="BX10" s="96"/>
      <c r="BY10" s="96"/>
      <c r="BZ10" s="96"/>
      <c r="CA10" s="96"/>
      <c r="CB10" s="96" t="s">
        <v>328</v>
      </c>
      <c r="CC10" s="96" t="s">
        <v>328</v>
      </c>
      <c r="CD10" s="96" t="s">
        <v>328</v>
      </c>
      <c r="CE10" s="33"/>
      <c r="CF10" s="33"/>
      <c r="CG10" s="33"/>
    </row>
    <row r="11" spans="1:85" ht="15.75" hidden="1" customHeight="1">
      <c r="A11" s="96"/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33"/>
      <c r="BJ11" s="33"/>
      <c r="BK11" s="33"/>
      <c r="BL11" s="33"/>
      <c r="BM11" s="33"/>
      <c r="BN11" s="27"/>
      <c r="BO11" s="27"/>
      <c r="BP11" s="27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</row>
    <row r="12" spans="1:85" ht="45.75" customHeight="1">
      <c r="A12" s="129"/>
      <c r="B12" s="129">
        <v>1</v>
      </c>
      <c r="C12" s="129">
        <v>11</v>
      </c>
      <c r="D12" s="129" t="s">
        <v>329</v>
      </c>
      <c r="E12" s="129" t="s">
        <v>55</v>
      </c>
      <c r="F12" s="129" t="s">
        <v>56</v>
      </c>
      <c r="G12" s="129" t="s">
        <v>330</v>
      </c>
      <c r="H12" s="129">
        <v>11</v>
      </c>
      <c r="I12" s="129" t="s">
        <v>329</v>
      </c>
      <c r="J12" s="129" t="s">
        <v>331</v>
      </c>
      <c r="K12" s="129" t="s">
        <v>69</v>
      </c>
      <c r="L12" s="129" t="s">
        <v>332</v>
      </c>
      <c r="M12" s="129" t="s">
        <v>333</v>
      </c>
      <c r="N12" s="129" t="s">
        <v>72</v>
      </c>
      <c r="O12" s="129" t="s">
        <v>334</v>
      </c>
      <c r="P12" s="129" t="s">
        <v>335</v>
      </c>
      <c r="Q12" s="129" t="s">
        <v>59</v>
      </c>
      <c r="R12" s="129" t="s">
        <v>335</v>
      </c>
      <c r="S12" s="130">
        <v>2</v>
      </c>
      <c r="T12" s="129" t="s">
        <v>60</v>
      </c>
      <c r="U12" s="129">
        <v>1200</v>
      </c>
      <c r="V12" s="129"/>
      <c r="W12" s="129" t="s">
        <v>336</v>
      </c>
      <c r="X12" s="129" t="s">
        <v>72</v>
      </c>
      <c r="Y12" s="129" t="s">
        <v>337</v>
      </c>
      <c r="Z12" s="129" t="s">
        <v>335</v>
      </c>
      <c r="AA12" s="129" t="s">
        <v>338</v>
      </c>
      <c r="AB12" s="129" t="s">
        <v>339</v>
      </c>
      <c r="AC12" s="129"/>
      <c r="AD12" s="129" t="s">
        <v>340</v>
      </c>
      <c r="AE12" s="129"/>
      <c r="AF12" s="129"/>
      <c r="AG12" s="129"/>
      <c r="AH12" s="129"/>
      <c r="AI12" s="129">
        <v>204.12</v>
      </c>
      <c r="AJ12" s="129">
        <v>53</v>
      </c>
      <c r="AK12" s="129">
        <v>53</v>
      </c>
      <c r="AL12" s="129">
        <v>10</v>
      </c>
      <c r="AM12" s="129">
        <v>0</v>
      </c>
      <c r="AN12" s="129"/>
      <c r="AO12" s="129" t="s">
        <v>341</v>
      </c>
      <c r="AP12" s="129" t="s">
        <v>342</v>
      </c>
      <c r="AQ12" s="129" t="s">
        <v>66</v>
      </c>
      <c r="AR12" s="129" t="s">
        <v>343</v>
      </c>
      <c r="AS12" s="129" t="s">
        <v>335</v>
      </c>
      <c r="AT12" s="129" t="s">
        <v>344</v>
      </c>
      <c r="AU12" s="129" t="s">
        <v>345</v>
      </c>
      <c r="AV12" s="129" t="s">
        <v>341</v>
      </c>
      <c r="AW12" s="129"/>
      <c r="AX12" s="129" t="s">
        <v>346</v>
      </c>
      <c r="AY12" s="129">
        <v>1</v>
      </c>
      <c r="AZ12" s="131">
        <v>45051</v>
      </c>
      <c r="BA12" s="129" t="s">
        <v>342</v>
      </c>
      <c r="BB12" s="129" t="s">
        <v>66</v>
      </c>
      <c r="BC12" s="129" t="s">
        <v>343</v>
      </c>
      <c r="BD12" s="129"/>
      <c r="BE12" s="129" t="s">
        <v>344</v>
      </c>
      <c r="BF12" s="129" t="s">
        <v>347</v>
      </c>
      <c r="BG12" s="131">
        <v>45051</v>
      </c>
      <c r="BH12" s="129" t="s">
        <v>348</v>
      </c>
      <c r="BI12" s="129"/>
      <c r="BJ12" s="129"/>
      <c r="BK12" s="129"/>
      <c r="BL12" s="132"/>
      <c r="BM12" s="133"/>
      <c r="BN12" s="134"/>
      <c r="BO12" s="134"/>
      <c r="BP12" s="135"/>
      <c r="BQ12" s="136"/>
      <c r="BR12" s="136"/>
      <c r="BS12" s="136"/>
      <c r="BT12" s="134"/>
      <c r="BU12" s="134"/>
      <c r="BV12" s="134"/>
      <c r="BW12" s="134"/>
      <c r="BX12" s="134"/>
      <c r="BY12" s="134"/>
      <c r="BZ12" s="134"/>
      <c r="CA12" s="134"/>
      <c r="CB12" s="134"/>
      <c r="CC12" s="134"/>
      <c r="CD12" s="134"/>
      <c r="CE12" s="134"/>
      <c r="CF12" s="134"/>
      <c r="CG12" s="134"/>
    </row>
    <row r="13" spans="1:85" ht="15.75" customHeight="1">
      <c r="A13" s="129"/>
      <c r="B13" s="129">
        <v>2</v>
      </c>
      <c r="C13" s="129">
        <v>11</v>
      </c>
      <c r="D13" s="129" t="s">
        <v>329</v>
      </c>
      <c r="E13" s="129" t="s">
        <v>55</v>
      </c>
      <c r="F13" s="129" t="s">
        <v>56</v>
      </c>
      <c r="G13" s="129" t="s">
        <v>330</v>
      </c>
      <c r="H13" s="129">
        <v>11</v>
      </c>
      <c r="I13" s="129" t="s">
        <v>329</v>
      </c>
      <c r="J13" s="129" t="s">
        <v>331</v>
      </c>
      <c r="K13" s="129" t="s">
        <v>69</v>
      </c>
      <c r="L13" s="129" t="s">
        <v>332</v>
      </c>
      <c r="M13" s="129" t="s">
        <v>333</v>
      </c>
      <c r="N13" s="129" t="s">
        <v>72</v>
      </c>
      <c r="O13" s="129" t="s">
        <v>334</v>
      </c>
      <c r="P13" s="129" t="s">
        <v>335</v>
      </c>
      <c r="Q13" s="129" t="s">
        <v>59</v>
      </c>
      <c r="R13" s="129" t="s">
        <v>335</v>
      </c>
      <c r="S13" s="130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 t="s">
        <v>349</v>
      </c>
      <c r="AY13" s="129">
        <v>2</v>
      </c>
      <c r="AZ13" s="131">
        <v>45287</v>
      </c>
      <c r="BA13" s="129" t="s">
        <v>342</v>
      </c>
      <c r="BB13" s="129" t="s">
        <v>66</v>
      </c>
      <c r="BC13" s="129" t="s">
        <v>343</v>
      </c>
      <c r="BD13" s="129"/>
      <c r="BE13" s="129" t="s">
        <v>344</v>
      </c>
      <c r="BF13" s="129" t="s">
        <v>347</v>
      </c>
      <c r="BG13" s="131">
        <v>45287</v>
      </c>
      <c r="BH13" s="129" t="s">
        <v>350</v>
      </c>
      <c r="BI13" s="129"/>
      <c r="BJ13" s="129"/>
      <c r="BK13" s="129"/>
      <c r="BL13" s="134"/>
      <c r="BM13" s="134"/>
      <c r="BN13" s="134"/>
      <c r="BO13" s="134"/>
      <c r="BP13" s="135"/>
      <c r="BQ13" s="137"/>
      <c r="BR13" s="137"/>
      <c r="BS13" s="137"/>
      <c r="BT13" s="134"/>
      <c r="BU13" s="134"/>
      <c r="BV13" s="134"/>
      <c r="BW13" s="134"/>
      <c r="BX13" s="134"/>
      <c r="BY13" s="134"/>
      <c r="BZ13" s="134"/>
      <c r="CA13" s="134"/>
      <c r="CB13" s="134"/>
      <c r="CC13" s="134"/>
      <c r="CD13" s="134"/>
      <c r="CE13" s="134"/>
      <c r="CF13" s="134"/>
      <c r="CG13" s="134"/>
    </row>
    <row r="14" spans="1:85" ht="15.75" customHeight="1">
      <c r="A14" s="129"/>
      <c r="B14" s="129">
        <v>3</v>
      </c>
      <c r="C14" s="129">
        <v>11</v>
      </c>
      <c r="D14" s="129" t="s">
        <v>329</v>
      </c>
      <c r="E14" s="129" t="s">
        <v>55</v>
      </c>
      <c r="F14" s="129" t="s">
        <v>56</v>
      </c>
      <c r="G14" s="129" t="s">
        <v>351</v>
      </c>
      <c r="H14" s="129">
        <v>11</v>
      </c>
      <c r="I14" s="129" t="s">
        <v>329</v>
      </c>
      <c r="J14" s="129" t="s">
        <v>352</v>
      </c>
      <c r="K14" s="129" t="s">
        <v>69</v>
      </c>
      <c r="L14" s="129" t="s">
        <v>353</v>
      </c>
      <c r="M14" s="129" t="s">
        <v>354</v>
      </c>
      <c r="N14" s="129" t="s">
        <v>65</v>
      </c>
      <c r="O14" s="129" t="s">
        <v>355</v>
      </c>
      <c r="P14" s="129" t="s">
        <v>335</v>
      </c>
      <c r="Q14" s="129" t="s">
        <v>59</v>
      </c>
      <c r="R14" s="129" t="s">
        <v>335</v>
      </c>
      <c r="S14" s="130">
        <v>74</v>
      </c>
      <c r="T14" s="129" t="s">
        <v>60</v>
      </c>
      <c r="U14" s="129">
        <v>44400</v>
      </c>
      <c r="V14" s="129" t="s">
        <v>356</v>
      </c>
      <c r="W14" s="129" t="s">
        <v>357</v>
      </c>
      <c r="X14" s="129" t="s">
        <v>358</v>
      </c>
      <c r="Y14" s="129" t="s">
        <v>359</v>
      </c>
      <c r="Z14" s="129" t="s">
        <v>335</v>
      </c>
      <c r="AA14" s="129" t="s">
        <v>338</v>
      </c>
      <c r="AB14" s="129" t="s">
        <v>339</v>
      </c>
      <c r="AC14" s="129" t="s">
        <v>356</v>
      </c>
      <c r="AD14" s="129" t="s">
        <v>340</v>
      </c>
      <c r="AE14" s="129" t="s">
        <v>356</v>
      </c>
      <c r="AF14" s="129" t="s">
        <v>360</v>
      </c>
      <c r="AG14" s="129" t="s">
        <v>356</v>
      </c>
      <c r="AH14" s="129"/>
      <c r="AI14" s="129">
        <v>221.7</v>
      </c>
      <c r="AJ14" s="129">
        <v>48</v>
      </c>
      <c r="AK14" s="129">
        <v>48</v>
      </c>
      <c r="AL14" s="129">
        <v>7</v>
      </c>
      <c r="AM14" s="129">
        <v>0</v>
      </c>
      <c r="AN14" s="129"/>
      <c r="AO14" s="129" t="s">
        <v>361</v>
      </c>
      <c r="AP14" s="129" t="s">
        <v>362</v>
      </c>
      <c r="AQ14" s="129" t="s">
        <v>363</v>
      </c>
      <c r="AR14" s="129" t="s">
        <v>364</v>
      </c>
      <c r="AS14" s="129" t="s">
        <v>335</v>
      </c>
      <c r="AT14" s="129" t="s">
        <v>365</v>
      </c>
      <c r="AU14" s="129" t="s">
        <v>345</v>
      </c>
      <c r="AV14" s="129" t="s">
        <v>361</v>
      </c>
      <c r="AW14" s="129"/>
      <c r="AX14" s="129" t="s">
        <v>349</v>
      </c>
      <c r="AY14" s="129">
        <v>2</v>
      </c>
      <c r="AZ14" s="131">
        <v>45000</v>
      </c>
      <c r="BA14" s="129" t="s">
        <v>366</v>
      </c>
      <c r="BB14" s="129" t="s">
        <v>58</v>
      </c>
      <c r="BC14" s="129" t="s">
        <v>367</v>
      </c>
      <c r="BD14" s="129"/>
      <c r="BE14" s="129" t="s">
        <v>368</v>
      </c>
      <c r="BF14" s="129" t="s">
        <v>347</v>
      </c>
      <c r="BG14" s="131">
        <v>45000</v>
      </c>
      <c r="BH14" s="129" t="s">
        <v>350</v>
      </c>
      <c r="BI14" s="129"/>
      <c r="BJ14" s="129"/>
      <c r="BK14" s="129"/>
      <c r="BL14" s="134"/>
      <c r="BM14" s="134"/>
      <c r="BN14" s="134"/>
      <c r="BO14" s="134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134"/>
      <c r="CC14" s="134"/>
      <c r="CD14" s="134"/>
      <c r="CE14" s="134"/>
      <c r="CF14" s="134"/>
      <c r="CG14" s="134"/>
    </row>
    <row r="15" spans="1:85" ht="15.75" customHeight="1">
      <c r="A15" s="129"/>
      <c r="B15" s="129">
        <v>4</v>
      </c>
      <c r="C15" s="129">
        <v>11</v>
      </c>
      <c r="D15" s="129" t="s">
        <v>329</v>
      </c>
      <c r="E15" s="129" t="s">
        <v>55</v>
      </c>
      <c r="F15" s="129" t="s">
        <v>56</v>
      </c>
      <c r="G15" s="129" t="s">
        <v>369</v>
      </c>
      <c r="H15" s="129">
        <v>11</v>
      </c>
      <c r="I15" s="129" t="s">
        <v>329</v>
      </c>
      <c r="J15" s="129" t="s">
        <v>370</v>
      </c>
      <c r="K15" s="129" t="s">
        <v>371</v>
      </c>
      <c r="L15" s="129" t="s">
        <v>372</v>
      </c>
      <c r="M15" s="129" t="s">
        <v>68</v>
      </c>
      <c r="N15" s="129"/>
      <c r="O15" s="129" t="s">
        <v>373</v>
      </c>
      <c r="P15" s="129" t="s">
        <v>335</v>
      </c>
      <c r="Q15" s="129" t="s">
        <v>59</v>
      </c>
      <c r="R15" s="129" t="s">
        <v>335</v>
      </c>
      <c r="S15" s="130">
        <v>20</v>
      </c>
      <c r="T15" s="129" t="s">
        <v>60</v>
      </c>
      <c r="U15" s="129">
        <v>12000</v>
      </c>
      <c r="V15" s="129" t="s">
        <v>374</v>
      </c>
      <c r="W15" s="129" t="s">
        <v>68</v>
      </c>
      <c r="X15" s="129" t="s">
        <v>335</v>
      </c>
      <c r="Y15" s="129" t="s">
        <v>373</v>
      </c>
      <c r="Z15" s="129" t="s">
        <v>335</v>
      </c>
      <c r="AA15" s="129" t="s">
        <v>61</v>
      </c>
      <c r="AB15" s="129" t="s">
        <v>339</v>
      </c>
      <c r="AC15" s="129" t="s">
        <v>374</v>
      </c>
      <c r="AD15" s="129" t="s">
        <v>340</v>
      </c>
      <c r="AE15" s="129" t="s">
        <v>374</v>
      </c>
      <c r="AF15" s="129" t="s">
        <v>360</v>
      </c>
      <c r="AG15" s="129" t="s">
        <v>374</v>
      </c>
      <c r="AH15" s="129"/>
      <c r="AI15" s="129">
        <v>63.4</v>
      </c>
      <c r="AJ15" s="129">
        <v>22</v>
      </c>
      <c r="AK15" s="129">
        <v>16</v>
      </c>
      <c r="AL15" s="129">
        <v>3</v>
      </c>
      <c r="AM15" s="129">
        <v>0</v>
      </c>
      <c r="AN15" s="129"/>
      <c r="AO15" s="129" t="s">
        <v>375</v>
      </c>
      <c r="AP15" s="129" t="s">
        <v>68</v>
      </c>
      <c r="AQ15" s="129"/>
      <c r="AR15" s="129" t="s">
        <v>373</v>
      </c>
      <c r="AS15" s="129" t="s">
        <v>335</v>
      </c>
      <c r="AT15" s="129" t="s">
        <v>376</v>
      </c>
      <c r="AU15" s="129" t="s">
        <v>345</v>
      </c>
      <c r="AV15" s="129" t="s">
        <v>375</v>
      </c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34"/>
      <c r="BM15" s="134"/>
      <c r="BN15" s="134"/>
      <c r="BO15" s="134"/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134"/>
      <c r="CC15" s="134"/>
      <c r="CD15" s="134"/>
      <c r="CE15" s="134"/>
      <c r="CF15" s="134"/>
      <c r="CG15" s="134"/>
    </row>
    <row r="16" spans="1:85" ht="15.75" customHeight="1">
      <c r="A16" s="129"/>
      <c r="B16" s="129">
        <v>5</v>
      </c>
      <c r="C16" s="129">
        <v>11</v>
      </c>
      <c r="D16" s="129" t="s">
        <v>329</v>
      </c>
      <c r="E16" s="129" t="s">
        <v>55</v>
      </c>
      <c r="F16" s="129" t="s">
        <v>56</v>
      </c>
      <c r="G16" s="129" t="s">
        <v>377</v>
      </c>
      <c r="H16" s="129">
        <v>11</v>
      </c>
      <c r="I16" s="129" t="s">
        <v>329</v>
      </c>
      <c r="J16" s="129" t="s">
        <v>378</v>
      </c>
      <c r="K16" s="129" t="s">
        <v>379</v>
      </c>
      <c r="L16" s="129"/>
      <c r="M16" s="129" t="s">
        <v>380</v>
      </c>
      <c r="N16" s="129" t="s">
        <v>66</v>
      </c>
      <c r="O16" s="129" t="s">
        <v>381</v>
      </c>
      <c r="P16" s="129" t="s">
        <v>335</v>
      </c>
      <c r="Q16" s="129" t="s">
        <v>59</v>
      </c>
      <c r="R16" s="129" t="s">
        <v>335</v>
      </c>
      <c r="S16" s="130">
        <v>10</v>
      </c>
      <c r="T16" s="129" t="s">
        <v>60</v>
      </c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34"/>
      <c r="BM16" s="134"/>
      <c r="BN16" s="134"/>
      <c r="BO16" s="134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134"/>
      <c r="CC16" s="134"/>
      <c r="CD16" s="134"/>
      <c r="CE16" s="134"/>
      <c r="CF16" s="134"/>
      <c r="CG16" s="134"/>
    </row>
    <row r="17" spans="1:85" ht="15.75" customHeight="1">
      <c r="A17" s="129"/>
      <c r="B17" s="129">
        <v>6</v>
      </c>
      <c r="C17" s="129">
        <v>11</v>
      </c>
      <c r="D17" s="129" t="s">
        <v>329</v>
      </c>
      <c r="E17" s="129" t="s">
        <v>73</v>
      </c>
      <c r="F17" s="129" t="s">
        <v>56</v>
      </c>
      <c r="G17" s="129" t="s">
        <v>382</v>
      </c>
      <c r="H17" s="129">
        <v>11</v>
      </c>
      <c r="I17" s="129" t="s">
        <v>329</v>
      </c>
      <c r="J17" s="129" t="s">
        <v>383</v>
      </c>
      <c r="K17" s="129" t="s">
        <v>384</v>
      </c>
      <c r="L17" s="129" t="s">
        <v>385</v>
      </c>
      <c r="M17" s="129" t="s">
        <v>386</v>
      </c>
      <c r="N17" s="129" t="s">
        <v>387</v>
      </c>
      <c r="O17" s="129" t="s">
        <v>388</v>
      </c>
      <c r="P17" s="129" t="s">
        <v>335</v>
      </c>
      <c r="Q17" s="129" t="s">
        <v>59</v>
      </c>
      <c r="R17" s="129"/>
      <c r="S17" s="130">
        <v>10</v>
      </c>
      <c r="T17" s="129" t="s">
        <v>60</v>
      </c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34"/>
      <c r="BM17" s="134"/>
      <c r="BN17" s="134"/>
      <c r="BO17" s="134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34"/>
      <c r="CC17" s="134"/>
      <c r="CD17" s="134"/>
      <c r="CE17" s="134"/>
      <c r="CF17" s="134"/>
      <c r="CG17" s="134"/>
    </row>
    <row r="18" spans="1:85" ht="15.75" customHeight="1">
      <c r="A18" s="129"/>
      <c r="B18" s="129">
        <v>7</v>
      </c>
      <c r="C18" s="129">
        <v>11</v>
      </c>
      <c r="D18" s="129" t="s">
        <v>329</v>
      </c>
      <c r="E18" s="129" t="s">
        <v>73</v>
      </c>
      <c r="F18" s="129" t="s">
        <v>56</v>
      </c>
      <c r="G18" s="129" t="s">
        <v>389</v>
      </c>
      <c r="H18" s="129">
        <v>11</v>
      </c>
      <c r="I18" s="129" t="s">
        <v>329</v>
      </c>
      <c r="J18" s="129" t="s">
        <v>390</v>
      </c>
      <c r="K18" s="129" t="s">
        <v>391</v>
      </c>
      <c r="L18" s="129" t="s">
        <v>332</v>
      </c>
      <c r="M18" s="129" t="s">
        <v>392</v>
      </c>
      <c r="N18" s="129" t="s">
        <v>393</v>
      </c>
      <c r="O18" s="129" t="s">
        <v>394</v>
      </c>
      <c r="P18" s="129" t="s">
        <v>335</v>
      </c>
      <c r="Q18" s="129" t="s">
        <v>59</v>
      </c>
      <c r="R18" s="129" t="s">
        <v>335</v>
      </c>
      <c r="S18" s="130">
        <v>20</v>
      </c>
      <c r="T18" s="129" t="s">
        <v>60</v>
      </c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129"/>
      <c r="BE18" s="129"/>
      <c r="BF18" s="129"/>
      <c r="BG18" s="129"/>
      <c r="BH18" s="129"/>
      <c r="BI18" s="129"/>
      <c r="BJ18" s="129"/>
      <c r="BK18" s="129"/>
      <c r="BL18" s="134"/>
      <c r="BM18" s="134"/>
      <c r="BN18" s="134"/>
      <c r="BO18" s="134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134"/>
      <c r="CC18" s="134"/>
      <c r="CD18" s="134"/>
      <c r="CE18" s="134"/>
      <c r="CF18" s="134"/>
      <c r="CG18" s="134"/>
    </row>
    <row r="19" spans="1:85" ht="15.75" customHeight="1">
      <c r="A19" s="129"/>
      <c r="B19" s="129">
        <v>8</v>
      </c>
      <c r="C19" s="129">
        <v>11</v>
      </c>
      <c r="D19" s="129" t="s">
        <v>329</v>
      </c>
      <c r="E19" s="129" t="s">
        <v>73</v>
      </c>
      <c r="F19" s="129" t="s">
        <v>56</v>
      </c>
      <c r="G19" s="129" t="s">
        <v>395</v>
      </c>
      <c r="H19" s="129">
        <v>11</v>
      </c>
      <c r="I19" s="129" t="s">
        <v>329</v>
      </c>
      <c r="J19" s="129" t="s">
        <v>378</v>
      </c>
      <c r="K19" s="129" t="s">
        <v>396</v>
      </c>
      <c r="L19" s="129"/>
      <c r="M19" s="129" t="s">
        <v>397</v>
      </c>
      <c r="N19" s="129" t="s">
        <v>66</v>
      </c>
      <c r="O19" s="129" t="s">
        <v>398</v>
      </c>
      <c r="P19" s="129" t="s">
        <v>335</v>
      </c>
      <c r="Q19" s="129" t="s">
        <v>59</v>
      </c>
      <c r="R19" s="129"/>
      <c r="S19" s="130">
        <v>55.5</v>
      </c>
      <c r="T19" s="129" t="s">
        <v>60</v>
      </c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129"/>
      <c r="BE19" s="129"/>
      <c r="BF19" s="129"/>
      <c r="BG19" s="129"/>
      <c r="BH19" s="129"/>
      <c r="BI19" s="129"/>
      <c r="BJ19" s="129"/>
      <c r="BK19" s="129"/>
      <c r="BL19" s="134"/>
      <c r="BM19" s="134"/>
      <c r="BN19" s="134"/>
      <c r="BO19" s="134"/>
      <c r="BP19" s="134"/>
      <c r="BQ19" s="134"/>
      <c r="BR19" s="134"/>
      <c r="BS19" s="134"/>
      <c r="BT19" s="134"/>
      <c r="BU19" s="134"/>
      <c r="BV19" s="134"/>
      <c r="BW19" s="134"/>
      <c r="BX19" s="134"/>
      <c r="BY19" s="134"/>
      <c r="BZ19" s="134"/>
      <c r="CA19" s="134"/>
      <c r="CB19" s="134"/>
      <c r="CC19" s="134"/>
      <c r="CD19" s="134"/>
      <c r="CE19" s="134"/>
      <c r="CF19" s="134"/>
      <c r="CG19" s="134"/>
    </row>
    <row r="20" spans="1:85" ht="15.75" customHeight="1">
      <c r="A20" s="129"/>
      <c r="B20" s="129">
        <v>9</v>
      </c>
      <c r="C20" s="129">
        <v>11</v>
      </c>
      <c r="D20" s="129" t="s">
        <v>329</v>
      </c>
      <c r="E20" s="129" t="s">
        <v>73</v>
      </c>
      <c r="F20" s="129" t="s">
        <v>56</v>
      </c>
      <c r="G20" s="129" t="s">
        <v>399</v>
      </c>
      <c r="H20" s="129">
        <v>11</v>
      </c>
      <c r="I20" s="129" t="s">
        <v>329</v>
      </c>
      <c r="J20" s="129" t="s">
        <v>390</v>
      </c>
      <c r="K20" s="129" t="s">
        <v>400</v>
      </c>
      <c r="L20" s="129" t="s">
        <v>401</v>
      </c>
      <c r="M20" s="129" t="s">
        <v>402</v>
      </c>
      <c r="N20" s="129" t="s">
        <v>62</v>
      </c>
      <c r="O20" s="129" t="s">
        <v>403</v>
      </c>
      <c r="P20" s="129" t="s">
        <v>335</v>
      </c>
      <c r="Q20" s="129" t="s">
        <v>63</v>
      </c>
      <c r="R20" s="129"/>
      <c r="S20" s="130">
        <v>25</v>
      </c>
      <c r="T20" s="129" t="s">
        <v>60</v>
      </c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29"/>
      <c r="BD20" s="129"/>
      <c r="BE20" s="129"/>
      <c r="BF20" s="129"/>
      <c r="BG20" s="129"/>
      <c r="BH20" s="129"/>
      <c r="BI20" s="129"/>
      <c r="BJ20" s="129"/>
      <c r="BK20" s="129"/>
      <c r="BL20" s="134"/>
      <c r="BM20" s="134"/>
      <c r="BN20" s="134"/>
      <c r="BO20" s="134"/>
      <c r="BP20" s="134"/>
      <c r="BQ20" s="134"/>
      <c r="BR20" s="134"/>
      <c r="BS20" s="134"/>
      <c r="BT20" s="134"/>
      <c r="BU20" s="134"/>
      <c r="BV20" s="134"/>
      <c r="BW20" s="134"/>
      <c r="BX20" s="134"/>
      <c r="BY20" s="134"/>
      <c r="BZ20" s="134"/>
      <c r="CA20" s="134"/>
      <c r="CB20" s="134"/>
      <c r="CC20" s="134"/>
      <c r="CD20" s="134"/>
      <c r="CE20" s="134"/>
      <c r="CF20" s="134"/>
      <c r="CG20" s="134"/>
    </row>
    <row r="21" spans="1:85" ht="15.75" customHeight="1">
      <c r="A21" s="129"/>
      <c r="B21" s="129">
        <v>10</v>
      </c>
      <c r="C21" s="129">
        <v>11</v>
      </c>
      <c r="D21" s="129" t="s">
        <v>329</v>
      </c>
      <c r="E21" s="129" t="s">
        <v>73</v>
      </c>
      <c r="F21" s="129" t="s">
        <v>56</v>
      </c>
      <c r="G21" s="129" t="s">
        <v>404</v>
      </c>
      <c r="H21" s="129">
        <v>11</v>
      </c>
      <c r="I21" s="129" t="s">
        <v>329</v>
      </c>
      <c r="J21" s="129" t="s">
        <v>378</v>
      </c>
      <c r="K21" s="129" t="s">
        <v>405</v>
      </c>
      <c r="L21" s="129"/>
      <c r="M21" s="129" t="s">
        <v>406</v>
      </c>
      <c r="N21" s="129" t="s">
        <v>58</v>
      </c>
      <c r="O21" s="129" t="s">
        <v>407</v>
      </c>
      <c r="P21" s="129" t="s">
        <v>335</v>
      </c>
      <c r="Q21" s="129" t="s">
        <v>63</v>
      </c>
      <c r="R21" s="129"/>
      <c r="S21" s="130">
        <v>30</v>
      </c>
      <c r="T21" s="130" t="s">
        <v>60</v>
      </c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34"/>
      <c r="BM21" s="134"/>
      <c r="BN21" s="134"/>
      <c r="BO21" s="134"/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134"/>
      <c r="CC21" s="134"/>
      <c r="CD21" s="134"/>
      <c r="CE21" s="134"/>
      <c r="CF21" s="134"/>
      <c r="CG21" s="134"/>
    </row>
    <row r="22" spans="1:85" ht="15.75" customHeight="1">
      <c r="A22" s="129"/>
      <c r="B22" s="129">
        <v>11</v>
      </c>
      <c r="C22" s="129">
        <v>11</v>
      </c>
      <c r="D22" s="129" t="s">
        <v>329</v>
      </c>
      <c r="E22" s="129" t="s">
        <v>73</v>
      </c>
      <c r="F22" s="129" t="s">
        <v>56</v>
      </c>
      <c r="G22" s="129" t="s">
        <v>408</v>
      </c>
      <c r="H22" s="129">
        <v>11</v>
      </c>
      <c r="I22" s="129" t="s">
        <v>329</v>
      </c>
      <c r="J22" s="129" t="s">
        <v>378</v>
      </c>
      <c r="K22" s="129" t="s">
        <v>409</v>
      </c>
      <c r="L22" s="129" t="s">
        <v>410</v>
      </c>
      <c r="M22" s="129" t="s">
        <v>411</v>
      </c>
      <c r="N22" s="129" t="s">
        <v>66</v>
      </c>
      <c r="O22" s="129" t="s">
        <v>412</v>
      </c>
      <c r="P22" s="129" t="s">
        <v>335</v>
      </c>
      <c r="Q22" s="129" t="s">
        <v>59</v>
      </c>
      <c r="R22" s="129"/>
      <c r="S22" s="130" t="s">
        <v>335</v>
      </c>
      <c r="T22" s="129" t="s">
        <v>335</v>
      </c>
      <c r="U22" s="129" t="s">
        <v>335</v>
      </c>
      <c r="V22" s="129" t="s">
        <v>335</v>
      </c>
      <c r="W22" s="129" t="s">
        <v>335</v>
      </c>
      <c r="X22" s="129" t="s">
        <v>335</v>
      </c>
      <c r="Y22" s="129" t="s">
        <v>335</v>
      </c>
      <c r="Z22" s="129" t="s">
        <v>335</v>
      </c>
      <c r="AA22" s="129" t="s">
        <v>335</v>
      </c>
      <c r="AB22" s="129" t="s">
        <v>335</v>
      </c>
      <c r="AC22" s="129" t="s">
        <v>335</v>
      </c>
      <c r="AD22" s="129" t="s">
        <v>335</v>
      </c>
      <c r="AE22" s="129" t="s">
        <v>335</v>
      </c>
      <c r="AF22" s="129" t="s">
        <v>335</v>
      </c>
      <c r="AG22" s="129" t="s">
        <v>335</v>
      </c>
      <c r="AH22" s="129" t="s">
        <v>335</v>
      </c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129"/>
      <c r="BE22" s="129"/>
      <c r="BF22" s="129"/>
      <c r="BG22" s="129"/>
      <c r="BH22" s="129"/>
      <c r="BI22" s="129"/>
      <c r="BJ22" s="129"/>
      <c r="BK22" s="129"/>
      <c r="BL22" s="134"/>
      <c r="BM22" s="134"/>
      <c r="BN22" s="134"/>
      <c r="BO22" s="134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134"/>
      <c r="CC22" s="134"/>
      <c r="CD22" s="134"/>
      <c r="CE22" s="134"/>
      <c r="CF22" s="134"/>
      <c r="CG22" s="134"/>
    </row>
    <row r="23" spans="1:85" ht="15.75" customHeight="1">
      <c r="A23" s="129"/>
      <c r="B23" s="129"/>
      <c r="C23" s="138">
        <v>11</v>
      </c>
      <c r="D23" s="138" t="s">
        <v>329</v>
      </c>
      <c r="E23" s="138" t="s">
        <v>413</v>
      </c>
      <c r="F23" s="138" t="s">
        <v>414</v>
      </c>
      <c r="G23" s="138" t="s">
        <v>415</v>
      </c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40"/>
      <c r="BM23" s="140"/>
      <c r="BN23" s="140"/>
      <c r="BO23" s="140"/>
      <c r="BP23" s="140"/>
      <c r="BQ23" s="140"/>
      <c r="BR23" s="140"/>
      <c r="BS23" s="140"/>
      <c r="BT23" s="140"/>
      <c r="BU23" s="140"/>
      <c r="BV23" s="140"/>
      <c r="BW23" s="140"/>
      <c r="BX23" s="140"/>
      <c r="BY23" s="140"/>
      <c r="BZ23" s="140"/>
      <c r="CA23" s="140"/>
      <c r="CB23" s="140"/>
      <c r="CC23" s="140"/>
      <c r="CD23" s="140"/>
      <c r="CE23" s="134"/>
      <c r="CF23" s="134"/>
      <c r="CG23" s="134"/>
    </row>
    <row r="24" spans="1:85" ht="15.75" customHeight="1">
      <c r="A24" s="129"/>
      <c r="B24" s="129">
        <v>12</v>
      </c>
      <c r="C24" s="129">
        <v>11</v>
      </c>
      <c r="D24" s="129" t="s">
        <v>329</v>
      </c>
      <c r="E24" s="129" t="s">
        <v>413</v>
      </c>
      <c r="F24" s="129" t="s">
        <v>414</v>
      </c>
      <c r="G24" s="129" t="s">
        <v>395</v>
      </c>
      <c r="H24" s="129">
        <v>11</v>
      </c>
      <c r="I24" s="129" t="s">
        <v>329</v>
      </c>
      <c r="J24" s="129" t="s">
        <v>378</v>
      </c>
      <c r="K24" s="129" t="s">
        <v>396</v>
      </c>
      <c r="L24" s="129" t="s">
        <v>416</v>
      </c>
      <c r="M24" s="129" t="s">
        <v>397</v>
      </c>
      <c r="N24" s="129" t="s">
        <v>66</v>
      </c>
      <c r="O24" s="129" t="s">
        <v>398</v>
      </c>
      <c r="P24" s="129" t="s">
        <v>335</v>
      </c>
      <c r="Q24" s="129" t="s">
        <v>59</v>
      </c>
      <c r="R24" s="129"/>
      <c r="S24" s="130">
        <v>67</v>
      </c>
      <c r="T24" s="129" t="s">
        <v>417</v>
      </c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34"/>
      <c r="BM24" s="134"/>
      <c r="BN24" s="134"/>
      <c r="BO24" s="134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4"/>
      <c r="CA24" s="134"/>
      <c r="CB24" s="134"/>
      <c r="CC24" s="134"/>
      <c r="CD24" s="134"/>
      <c r="CE24" s="134"/>
      <c r="CF24" s="134"/>
      <c r="CG24" s="134"/>
    </row>
    <row r="25" spans="1:85" ht="15.75" customHeight="1">
      <c r="A25" s="129"/>
      <c r="B25" s="129">
        <v>13</v>
      </c>
      <c r="C25" s="129">
        <v>11</v>
      </c>
      <c r="D25" s="129" t="s">
        <v>329</v>
      </c>
      <c r="E25" s="129" t="s">
        <v>413</v>
      </c>
      <c r="F25" s="129" t="s">
        <v>414</v>
      </c>
      <c r="G25" s="129" t="s">
        <v>418</v>
      </c>
      <c r="H25" s="129">
        <v>11</v>
      </c>
      <c r="I25" s="129" t="s">
        <v>329</v>
      </c>
      <c r="J25" s="129" t="s">
        <v>378</v>
      </c>
      <c r="K25" s="129" t="s">
        <v>419</v>
      </c>
      <c r="L25" s="129" t="s">
        <v>416</v>
      </c>
      <c r="M25" s="129" t="s">
        <v>420</v>
      </c>
      <c r="N25" s="129" t="s">
        <v>66</v>
      </c>
      <c r="O25" s="129" t="s">
        <v>421</v>
      </c>
      <c r="P25" s="129" t="s">
        <v>335</v>
      </c>
      <c r="Q25" s="129" t="s">
        <v>63</v>
      </c>
      <c r="R25" s="129"/>
      <c r="S25" s="130">
        <v>16</v>
      </c>
      <c r="T25" s="129" t="s">
        <v>417</v>
      </c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34"/>
      <c r="BM25" s="134"/>
      <c r="BN25" s="134"/>
      <c r="BO25" s="134"/>
      <c r="BP25" s="134"/>
      <c r="BQ25" s="134"/>
      <c r="BR25" s="134"/>
      <c r="BS25" s="134"/>
      <c r="BT25" s="134"/>
      <c r="BU25" s="134"/>
      <c r="BV25" s="134"/>
      <c r="BW25" s="134"/>
      <c r="BX25" s="134"/>
      <c r="BY25" s="134"/>
      <c r="BZ25" s="134"/>
      <c r="CA25" s="134"/>
      <c r="CB25" s="134"/>
      <c r="CC25" s="134"/>
      <c r="CD25" s="134"/>
      <c r="CE25" s="134"/>
      <c r="CF25" s="134"/>
      <c r="CG25" s="134"/>
    </row>
    <row r="26" spans="1:85" ht="15.75" customHeight="1">
      <c r="A26" s="129"/>
      <c r="B26" s="129">
        <v>14</v>
      </c>
      <c r="C26" s="129">
        <v>11</v>
      </c>
      <c r="D26" s="129" t="s">
        <v>329</v>
      </c>
      <c r="E26" s="129" t="s">
        <v>413</v>
      </c>
      <c r="F26" s="129" t="s">
        <v>414</v>
      </c>
      <c r="G26" s="129" t="s">
        <v>422</v>
      </c>
      <c r="H26" s="129">
        <v>11</v>
      </c>
      <c r="I26" s="129" t="s">
        <v>329</v>
      </c>
      <c r="J26" s="129" t="s">
        <v>423</v>
      </c>
      <c r="K26" s="129" t="s">
        <v>424</v>
      </c>
      <c r="L26" s="129" t="s">
        <v>425</v>
      </c>
      <c r="M26" s="129" t="s">
        <v>426</v>
      </c>
      <c r="N26" s="129" t="s">
        <v>427</v>
      </c>
      <c r="O26" s="129" t="s">
        <v>428</v>
      </c>
      <c r="P26" s="129" t="s">
        <v>335</v>
      </c>
      <c r="Q26" s="129" t="s">
        <v>63</v>
      </c>
      <c r="R26" s="129"/>
      <c r="S26" s="130">
        <v>10</v>
      </c>
      <c r="T26" s="129" t="s">
        <v>417</v>
      </c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34"/>
      <c r="BM26" s="134"/>
      <c r="BN26" s="134"/>
      <c r="BO26" s="134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4"/>
      <c r="CA26" s="134"/>
      <c r="CB26" s="134"/>
      <c r="CC26" s="134"/>
      <c r="CD26" s="134"/>
      <c r="CE26" s="134"/>
      <c r="CF26" s="134"/>
      <c r="CG26" s="134"/>
    </row>
    <row r="27" spans="1:85" ht="15.75" customHeight="1">
      <c r="A27" s="129"/>
      <c r="B27" s="129">
        <v>15</v>
      </c>
      <c r="C27" s="129">
        <v>11</v>
      </c>
      <c r="D27" s="129" t="s">
        <v>329</v>
      </c>
      <c r="E27" s="129" t="s">
        <v>413</v>
      </c>
      <c r="F27" s="129" t="s">
        <v>414</v>
      </c>
      <c r="G27" s="129" t="s">
        <v>429</v>
      </c>
      <c r="H27" s="129">
        <v>11</v>
      </c>
      <c r="I27" s="129" t="s">
        <v>329</v>
      </c>
      <c r="J27" s="129" t="s">
        <v>378</v>
      </c>
      <c r="K27" s="129" t="s">
        <v>430</v>
      </c>
      <c r="L27" s="129" t="s">
        <v>332</v>
      </c>
      <c r="M27" s="129" t="s">
        <v>70</v>
      </c>
      <c r="N27" s="129" t="s">
        <v>67</v>
      </c>
      <c r="O27" s="129" t="s">
        <v>431</v>
      </c>
      <c r="P27" s="129" t="s">
        <v>335</v>
      </c>
      <c r="Q27" s="129" t="s">
        <v>59</v>
      </c>
      <c r="R27" s="129"/>
      <c r="S27" s="130">
        <v>1</v>
      </c>
      <c r="T27" s="129" t="s">
        <v>417</v>
      </c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34"/>
      <c r="BM27" s="134"/>
      <c r="BN27" s="134"/>
      <c r="BO27" s="134"/>
      <c r="BP27" s="13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4"/>
      <c r="CA27" s="134"/>
      <c r="CB27" s="134"/>
      <c r="CC27" s="134"/>
      <c r="CD27" s="134"/>
      <c r="CE27" s="134"/>
      <c r="CF27" s="134"/>
      <c r="CG27" s="134"/>
    </row>
    <row r="28" spans="1:85" ht="15.75" customHeight="1">
      <c r="A28" s="129"/>
      <c r="B28" s="129">
        <v>16</v>
      </c>
      <c r="C28" s="129">
        <v>11</v>
      </c>
      <c r="D28" s="129" t="s">
        <v>329</v>
      </c>
      <c r="E28" s="129" t="s">
        <v>413</v>
      </c>
      <c r="F28" s="129" t="s">
        <v>414</v>
      </c>
      <c r="G28" s="129" t="s">
        <v>432</v>
      </c>
      <c r="H28" s="129">
        <v>11</v>
      </c>
      <c r="I28" s="129" t="s">
        <v>329</v>
      </c>
      <c r="J28" s="129" t="s">
        <v>331</v>
      </c>
      <c r="K28" s="129" t="s">
        <v>433</v>
      </c>
      <c r="L28" s="129"/>
      <c r="M28" s="129" t="s">
        <v>434</v>
      </c>
      <c r="N28" s="129" t="s">
        <v>65</v>
      </c>
      <c r="O28" s="129" t="s">
        <v>435</v>
      </c>
      <c r="P28" s="129" t="s">
        <v>335</v>
      </c>
      <c r="Q28" s="129" t="s">
        <v>59</v>
      </c>
      <c r="R28" s="129"/>
      <c r="S28" s="130">
        <v>37</v>
      </c>
      <c r="T28" s="129" t="s">
        <v>417</v>
      </c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34"/>
      <c r="BM28" s="134"/>
      <c r="BN28" s="134"/>
      <c r="BO28" s="134"/>
      <c r="BP28" s="134"/>
      <c r="BQ28" s="134"/>
      <c r="BR28" s="134"/>
      <c r="BS28" s="134"/>
      <c r="BT28" s="134"/>
      <c r="BU28" s="134"/>
      <c r="BV28" s="134"/>
      <c r="BW28" s="134"/>
      <c r="BX28" s="134"/>
      <c r="BY28" s="134"/>
      <c r="BZ28" s="134"/>
      <c r="CA28" s="134"/>
      <c r="CB28" s="134"/>
      <c r="CC28" s="134"/>
      <c r="CD28" s="134"/>
      <c r="CE28" s="134"/>
      <c r="CF28" s="134"/>
      <c r="CG28" s="134"/>
    </row>
    <row r="29" spans="1:85" ht="15.75" customHeight="1">
      <c r="A29" s="129"/>
      <c r="B29" s="129">
        <v>17</v>
      </c>
      <c r="C29" s="129">
        <v>11</v>
      </c>
      <c r="D29" s="129" t="s">
        <v>329</v>
      </c>
      <c r="E29" s="129" t="s">
        <v>413</v>
      </c>
      <c r="F29" s="129" t="s">
        <v>414</v>
      </c>
      <c r="G29" s="129" t="s">
        <v>436</v>
      </c>
      <c r="H29" s="129">
        <v>11</v>
      </c>
      <c r="I29" s="129" t="s">
        <v>329</v>
      </c>
      <c r="J29" s="129"/>
      <c r="K29" s="129" t="s">
        <v>437</v>
      </c>
      <c r="L29" s="129"/>
      <c r="M29" s="129"/>
      <c r="N29" s="129"/>
      <c r="O29" s="129"/>
      <c r="P29" s="129"/>
      <c r="Q29" s="129"/>
      <c r="R29" s="129"/>
      <c r="S29" s="130">
        <v>46.5</v>
      </c>
      <c r="T29" s="129" t="s">
        <v>417</v>
      </c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34"/>
      <c r="BM29" s="134"/>
      <c r="BN29" s="134"/>
      <c r="BO29" s="134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134"/>
      <c r="CC29" s="134"/>
      <c r="CD29" s="134"/>
      <c r="CE29" s="134"/>
      <c r="CF29" s="134"/>
      <c r="CG29" s="134"/>
    </row>
    <row r="30" spans="1:85" ht="15.75" customHeight="1">
      <c r="A30" s="129"/>
      <c r="B30" s="129">
        <v>18</v>
      </c>
      <c r="C30" s="129">
        <v>11</v>
      </c>
      <c r="D30" s="129" t="s">
        <v>329</v>
      </c>
      <c r="E30" s="129" t="s">
        <v>413</v>
      </c>
      <c r="F30" s="129" t="s">
        <v>414</v>
      </c>
      <c r="G30" s="129" t="s">
        <v>438</v>
      </c>
      <c r="H30" s="129">
        <v>11</v>
      </c>
      <c r="I30" s="129" t="s">
        <v>329</v>
      </c>
      <c r="J30" s="129" t="s">
        <v>378</v>
      </c>
      <c r="K30" s="129" t="s">
        <v>439</v>
      </c>
      <c r="L30" s="129"/>
      <c r="M30" s="129" t="s">
        <v>440</v>
      </c>
      <c r="N30" s="129" t="s">
        <v>441</v>
      </c>
      <c r="O30" s="129" t="s">
        <v>442</v>
      </c>
      <c r="P30" s="129" t="s">
        <v>71</v>
      </c>
      <c r="Q30" s="129" t="s">
        <v>59</v>
      </c>
      <c r="R30" s="129" t="s">
        <v>116</v>
      </c>
      <c r="S30" s="130">
        <v>12</v>
      </c>
      <c r="T30" s="129" t="s">
        <v>417</v>
      </c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34"/>
      <c r="BM30" s="134"/>
      <c r="BN30" s="134"/>
      <c r="BO30" s="134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34"/>
      <c r="CC30" s="134"/>
      <c r="CD30" s="134"/>
      <c r="CE30" s="134"/>
      <c r="CF30" s="134"/>
      <c r="CG30" s="134"/>
    </row>
    <row r="31" spans="1:85" ht="15.75" customHeight="1">
      <c r="A31" s="129"/>
      <c r="B31" s="129"/>
      <c r="C31" s="138">
        <v>11</v>
      </c>
      <c r="D31" s="138" t="s">
        <v>329</v>
      </c>
      <c r="E31" s="138" t="s">
        <v>413</v>
      </c>
      <c r="F31" s="138" t="s">
        <v>414</v>
      </c>
      <c r="G31" s="138" t="s">
        <v>443</v>
      </c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9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40"/>
      <c r="BM31" s="140"/>
      <c r="BN31" s="140"/>
      <c r="BO31" s="140"/>
      <c r="BP31" s="140"/>
      <c r="BQ31" s="140"/>
      <c r="BR31" s="140"/>
      <c r="BS31" s="140"/>
      <c r="BT31" s="140"/>
      <c r="BU31" s="140"/>
      <c r="BV31" s="140"/>
      <c r="BW31" s="140"/>
      <c r="BX31" s="140"/>
      <c r="BY31" s="140"/>
      <c r="BZ31" s="140"/>
      <c r="CA31" s="140"/>
      <c r="CB31" s="140"/>
      <c r="CC31" s="140"/>
      <c r="CD31" s="140"/>
      <c r="CE31" s="134"/>
      <c r="CF31" s="134"/>
      <c r="CG31" s="134"/>
    </row>
    <row r="32" spans="1:85" ht="15.75" customHeight="1">
      <c r="A32" s="129"/>
      <c r="B32" s="129">
        <v>19</v>
      </c>
      <c r="C32" s="129">
        <v>11</v>
      </c>
      <c r="D32" s="129" t="s">
        <v>329</v>
      </c>
      <c r="E32" s="129" t="s">
        <v>413</v>
      </c>
      <c r="F32" s="129" t="s">
        <v>414</v>
      </c>
      <c r="G32" s="129" t="s">
        <v>330</v>
      </c>
      <c r="H32" s="129">
        <v>11</v>
      </c>
      <c r="I32" s="129" t="s">
        <v>329</v>
      </c>
      <c r="J32" s="129" t="s">
        <v>331</v>
      </c>
      <c r="K32" s="129" t="s">
        <v>69</v>
      </c>
      <c r="L32" s="129"/>
      <c r="M32" s="129" t="s">
        <v>333</v>
      </c>
      <c r="N32" s="129" t="s">
        <v>72</v>
      </c>
      <c r="O32" s="129" t="s">
        <v>334</v>
      </c>
      <c r="P32" s="129" t="s">
        <v>335</v>
      </c>
      <c r="Q32" s="129" t="s">
        <v>59</v>
      </c>
      <c r="R32" s="129" t="s">
        <v>335</v>
      </c>
      <c r="S32" s="130">
        <v>43</v>
      </c>
      <c r="T32" s="129" t="s">
        <v>417</v>
      </c>
      <c r="U32" s="129">
        <f>29*600</f>
        <v>17400</v>
      </c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34"/>
      <c r="BM32" s="134"/>
      <c r="BN32" s="134"/>
      <c r="BO32" s="134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4"/>
      <c r="CA32" s="134"/>
      <c r="CB32" s="134"/>
      <c r="CC32" s="134"/>
      <c r="CD32" s="134"/>
      <c r="CE32" s="134"/>
      <c r="CF32" s="134"/>
      <c r="CG32" s="134"/>
    </row>
    <row r="33" spans="1:85" ht="15.75" customHeight="1">
      <c r="A33" s="129"/>
      <c r="B33" s="129">
        <v>20</v>
      </c>
      <c r="C33" s="129">
        <v>11</v>
      </c>
      <c r="D33" s="129" t="s">
        <v>329</v>
      </c>
      <c r="E33" s="129" t="s">
        <v>413</v>
      </c>
      <c r="F33" s="129" t="s">
        <v>414</v>
      </c>
      <c r="G33" s="129" t="s">
        <v>444</v>
      </c>
      <c r="H33" s="129">
        <v>11</v>
      </c>
      <c r="I33" s="129" t="s">
        <v>329</v>
      </c>
      <c r="J33" s="129" t="s">
        <v>370</v>
      </c>
      <c r="K33" s="129" t="s">
        <v>445</v>
      </c>
      <c r="L33" s="129"/>
      <c r="M33" s="129" t="s">
        <v>446</v>
      </c>
      <c r="N33" s="129" t="s">
        <v>447</v>
      </c>
      <c r="O33" s="129" t="s">
        <v>448</v>
      </c>
      <c r="P33" s="129" t="s">
        <v>335</v>
      </c>
      <c r="Q33" s="129" t="s">
        <v>59</v>
      </c>
      <c r="R33" s="129" t="s">
        <v>116</v>
      </c>
      <c r="S33" s="130">
        <v>18.5</v>
      </c>
      <c r="T33" s="129" t="s">
        <v>417</v>
      </c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34"/>
      <c r="BM33" s="134"/>
      <c r="BN33" s="134"/>
      <c r="BO33" s="134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4"/>
      <c r="CA33" s="134"/>
      <c r="CB33" s="134"/>
      <c r="CC33" s="134"/>
      <c r="CD33" s="134"/>
      <c r="CE33" s="134"/>
      <c r="CF33" s="134"/>
      <c r="CG33" s="134"/>
    </row>
    <row r="34" spans="1:85" ht="15.75" customHeight="1">
      <c r="A34" s="129"/>
      <c r="B34" s="129">
        <v>21</v>
      </c>
      <c r="C34" s="129">
        <v>11</v>
      </c>
      <c r="D34" s="129" t="s">
        <v>329</v>
      </c>
      <c r="E34" s="129" t="s">
        <v>413</v>
      </c>
      <c r="F34" s="129" t="s">
        <v>414</v>
      </c>
      <c r="G34" s="129" t="s">
        <v>449</v>
      </c>
      <c r="H34" s="129">
        <v>11</v>
      </c>
      <c r="I34" s="129" t="s">
        <v>329</v>
      </c>
      <c r="J34" s="129" t="s">
        <v>450</v>
      </c>
      <c r="K34" s="129"/>
      <c r="L34" s="129"/>
      <c r="M34" s="129"/>
      <c r="N34" s="129"/>
      <c r="O34" s="129"/>
      <c r="P34" s="129"/>
      <c r="Q34" s="129"/>
      <c r="R34" s="129"/>
      <c r="S34" s="130">
        <v>27</v>
      </c>
      <c r="T34" s="129" t="s">
        <v>417</v>
      </c>
      <c r="U34" s="129">
        <v>6000</v>
      </c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34"/>
      <c r="BM34" s="134"/>
      <c r="BN34" s="134"/>
      <c r="BO34" s="134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134"/>
      <c r="CC34" s="134"/>
      <c r="CD34" s="134"/>
      <c r="CE34" s="134"/>
      <c r="CF34" s="134"/>
      <c r="CG34" s="134"/>
    </row>
    <row r="35" spans="1:85" ht="15.75" customHeight="1">
      <c r="A35" s="129"/>
      <c r="B35" s="129">
        <v>22</v>
      </c>
      <c r="C35" s="129">
        <v>11</v>
      </c>
      <c r="D35" s="129" t="s">
        <v>329</v>
      </c>
      <c r="E35" s="129" t="s">
        <v>413</v>
      </c>
      <c r="F35" s="129" t="s">
        <v>414</v>
      </c>
      <c r="G35" s="129" t="s">
        <v>451</v>
      </c>
      <c r="H35" s="129">
        <v>11</v>
      </c>
      <c r="I35" s="129" t="s">
        <v>329</v>
      </c>
      <c r="J35" s="129" t="s">
        <v>331</v>
      </c>
      <c r="K35" s="129" t="s">
        <v>452</v>
      </c>
      <c r="L35" s="129" t="s">
        <v>453</v>
      </c>
      <c r="M35" s="129" t="s">
        <v>454</v>
      </c>
      <c r="N35" s="129"/>
      <c r="O35" s="129" t="s">
        <v>455</v>
      </c>
      <c r="P35" s="129" t="s">
        <v>335</v>
      </c>
      <c r="Q35" s="129" t="s">
        <v>59</v>
      </c>
      <c r="R35" s="129"/>
      <c r="S35" s="130">
        <v>16</v>
      </c>
      <c r="T35" s="129" t="s">
        <v>417</v>
      </c>
      <c r="U35" s="129">
        <v>6600</v>
      </c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34"/>
      <c r="BM35" s="134"/>
      <c r="BN35" s="134"/>
      <c r="BO35" s="134"/>
      <c r="BP35" s="134"/>
      <c r="BQ35" s="134"/>
      <c r="BR35" s="134"/>
      <c r="BS35" s="134"/>
      <c r="BT35" s="134"/>
      <c r="BU35" s="134"/>
      <c r="BV35" s="134"/>
      <c r="BW35" s="134"/>
      <c r="BX35" s="134"/>
      <c r="BY35" s="134"/>
      <c r="BZ35" s="134"/>
      <c r="CA35" s="134"/>
      <c r="CB35" s="134"/>
      <c r="CC35" s="134"/>
      <c r="CD35" s="134"/>
      <c r="CE35" s="134"/>
      <c r="CF35" s="134"/>
      <c r="CG35" s="134"/>
    </row>
    <row r="36" spans="1:85" ht="15.75" customHeight="1">
      <c r="A36" s="129"/>
      <c r="B36" s="129">
        <v>23</v>
      </c>
      <c r="C36" s="129">
        <v>11</v>
      </c>
      <c r="D36" s="129" t="s">
        <v>329</v>
      </c>
      <c r="E36" s="129" t="s">
        <v>413</v>
      </c>
      <c r="F36" s="129" t="s">
        <v>414</v>
      </c>
      <c r="G36" s="129" t="s">
        <v>456</v>
      </c>
      <c r="H36" s="129">
        <v>11</v>
      </c>
      <c r="I36" s="129" t="s">
        <v>329</v>
      </c>
      <c r="J36" s="129" t="s">
        <v>331</v>
      </c>
      <c r="K36" s="129" t="s">
        <v>69</v>
      </c>
      <c r="L36" s="129" t="s">
        <v>457</v>
      </c>
      <c r="M36" s="129" t="s">
        <v>458</v>
      </c>
      <c r="N36" s="129" t="s">
        <v>459</v>
      </c>
      <c r="O36" s="129" t="s">
        <v>460</v>
      </c>
      <c r="P36" s="129" t="s">
        <v>335</v>
      </c>
      <c r="Q36" s="129" t="s">
        <v>59</v>
      </c>
      <c r="R36" s="129" t="s">
        <v>335</v>
      </c>
      <c r="S36" s="130">
        <v>15</v>
      </c>
      <c r="T36" s="129" t="s">
        <v>417</v>
      </c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129"/>
      <c r="BE36" s="129"/>
      <c r="BF36" s="129"/>
      <c r="BG36" s="129"/>
      <c r="BH36" s="129"/>
      <c r="BI36" s="129"/>
      <c r="BJ36" s="129"/>
      <c r="BK36" s="129"/>
      <c r="BL36" s="134"/>
      <c r="BM36" s="134"/>
      <c r="BN36" s="134"/>
      <c r="BO36" s="134"/>
      <c r="BP36" s="134"/>
      <c r="BQ36" s="134"/>
      <c r="BR36" s="134"/>
      <c r="BS36" s="134"/>
      <c r="BT36" s="134"/>
      <c r="BU36" s="134"/>
      <c r="BV36" s="134"/>
      <c r="BW36" s="134"/>
      <c r="BX36" s="134"/>
      <c r="BY36" s="134"/>
      <c r="BZ36" s="134"/>
      <c r="CA36" s="134"/>
      <c r="CB36" s="134"/>
      <c r="CC36" s="134"/>
      <c r="CD36" s="134"/>
      <c r="CE36" s="134"/>
      <c r="CF36" s="134"/>
      <c r="CG36" s="134"/>
    </row>
    <row r="37" spans="1:85" ht="15.75" customHeight="1">
      <c r="A37" s="129"/>
      <c r="B37" s="129">
        <v>24</v>
      </c>
      <c r="C37" s="129">
        <v>11</v>
      </c>
      <c r="D37" s="129" t="s">
        <v>329</v>
      </c>
      <c r="E37" s="129" t="s">
        <v>413</v>
      </c>
      <c r="F37" s="129" t="s">
        <v>414</v>
      </c>
      <c r="G37" s="129" t="s">
        <v>461</v>
      </c>
      <c r="H37" s="129">
        <v>11</v>
      </c>
      <c r="I37" s="129" t="s">
        <v>329</v>
      </c>
      <c r="J37" s="129"/>
      <c r="K37" s="129"/>
      <c r="L37" s="129"/>
      <c r="M37" s="129"/>
      <c r="N37" s="129"/>
      <c r="O37" s="129"/>
      <c r="P37" s="129"/>
      <c r="Q37" s="129"/>
      <c r="R37" s="129"/>
      <c r="S37" s="130">
        <v>11.5</v>
      </c>
      <c r="T37" s="129" t="s">
        <v>417</v>
      </c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34"/>
      <c r="BM37" s="134"/>
      <c r="BN37" s="134"/>
      <c r="BO37" s="134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4"/>
      <c r="CA37" s="134"/>
      <c r="CB37" s="134"/>
      <c r="CC37" s="134"/>
      <c r="CD37" s="134"/>
      <c r="CE37" s="134"/>
      <c r="CF37" s="134"/>
      <c r="CG37" s="134"/>
    </row>
    <row r="38" spans="1:85" ht="15.75" customHeight="1">
      <c r="A38" s="129"/>
      <c r="B38" s="129">
        <v>25</v>
      </c>
      <c r="C38" s="129">
        <v>11</v>
      </c>
      <c r="D38" s="129" t="s">
        <v>329</v>
      </c>
      <c r="E38" s="129" t="s">
        <v>413</v>
      </c>
      <c r="F38" s="129" t="s">
        <v>414</v>
      </c>
      <c r="G38" s="129" t="s">
        <v>462</v>
      </c>
      <c r="H38" s="129">
        <v>11</v>
      </c>
      <c r="I38" s="129" t="s">
        <v>329</v>
      </c>
      <c r="J38" s="129" t="s">
        <v>331</v>
      </c>
      <c r="K38" s="129" t="s">
        <v>463</v>
      </c>
      <c r="L38" s="129" t="s">
        <v>464</v>
      </c>
      <c r="M38" s="129" t="s">
        <v>465</v>
      </c>
      <c r="N38" s="129"/>
      <c r="O38" s="129" t="s">
        <v>466</v>
      </c>
      <c r="P38" s="129" t="s">
        <v>335</v>
      </c>
      <c r="Q38" s="129" t="s">
        <v>59</v>
      </c>
      <c r="R38" s="129"/>
      <c r="S38" s="130">
        <v>10</v>
      </c>
      <c r="T38" s="129" t="s">
        <v>417</v>
      </c>
      <c r="U38" s="129">
        <v>3000</v>
      </c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29"/>
      <c r="CC38" s="129"/>
      <c r="CD38" s="129"/>
      <c r="CE38" s="129"/>
      <c r="CF38" s="129"/>
      <c r="CG38" s="129"/>
    </row>
    <row r="39" spans="1:85" ht="15.75" customHeight="1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30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  <c r="BP39" s="129"/>
      <c r="BQ39" s="129"/>
      <c r="BR39" s="129"/>
      <c r="BS39" s="129"/>
      <c r="BT39" s="129"/>
      <c r="BU39" s="129"/>
      <c r="BV39" s="129"/>
      <c r="BW39" s="129"/>
      <c r="BX39" s="129"/>
      <c r="BY39" s="129"/>
      <c r="BZ39" s="129"/>
      <c r="CA39" s="129"/>
      <c r="CB39" s="129"/>
      <c r="CC39" s="129"/>
      <c r="CD39" s="129"/>
      <c r="CE39" s="129"/>
      <c r="CF39" s="129"/>
      <c r="CG39" s="129"/>
    </row>
    <row r="40" spans="1:85" ht="15.75" customHeight="1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30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29"/>
      <c r="CC40" s="129"/>
      <c r="CD40" s="129"/>
      <c r="CE40" s="129"/>
      <c r="CF40" s="129"/>
      <c r="CG40" s="129"/>
    </row>
    <row r="41" spans="1:85" ht="15.75" customHeight="1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30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129"/>
      <c r="CC41" s="129"/>
      <c r="CD41" s="129"/>
      <c r="CE41" s="129"/>
      <c r="CF41" s="129"/>
      <c r="CG41" s="129"/>
    </row>
    <row r="42" spans="1:85" ht="15.75" customHeight="1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30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29"/>
      <c r="CC42" s="129"/>
      <c r="CD42" s="129"/>
      <c r="CE42" s="129"/>
      <c r="CF42" s="129"/>
      <c r="CG42" s="129"/>
    </row>
    <row r="43" spans="1:85" ht="15.75" customHeight="1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30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29"/>
      <c r="BS43" s="129"/>
      <c r="BT43" s="129"/>
      <c r="BU43" s="129"/>
      <c r="BV43" s="129"/>
      <c r="BW43" s="129"/>
      <c r="BX43" s="129"/>
      <c r="BY43" s="129"/>
      <c r="BZ43" s="129"/>
      <c r="CA43" s="129"/>
      <c r="CB43" s="129"/>
      <c r="CC43" s="129"/>
      <c r="CD43" s="129"/>
      <c r="CE43" s="129"/>
      <c r="CF43" s="129"/>
      <c r="CG43" s="129"/>
    </row>
    <row r="44" spans="1:85" ht="15.75" customHeight="1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30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  <c r="BP44" s="129"/>
      <c r="BQ44" s="129"/>
      <c r="BR44" s="129"/>
      <c r="BS44" s="129"/>
      <c r="BT44" s="129"/>
      <c r="BU44" s="129"/>
      <c r="BV44" s="129"/>
      <c r="BW44" s="129"/>
      <c r="BX44" s="129"/>
      <c r="BY44" s="129"/>
      <c r="BZ44" s="129"/>
      <c r="CA44" s="129"/>
      <c r="CB44" s="129"/>
      <c r="CC44" s="129"/>
      <c r="CD44" s="129"/>
      <c r="CE44" s="129"/>
      <c r="CF44" s="129"/>
      <c r="CG44" s="129"/>
    </row>
    <row r="45" spans="1:85" ht="15.75" customHeight="1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30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  <c r="BP45" s="129"/>
      <c r="BQ45" s="129"/>
      <c r="BR45" s="129"/>
      <c r="BS45" s="129"/>
      <c r="BT45" s="129"/>
      <c r="BU45" s="129"/>
      <c r="BV45" s="129"/>
      <c r="BW45" s="129"/>
      <c r="BX45" s="129"/>
      <c r="BY45" s="129"/>
      <c r="BZ45" s="129"/>
      <c r="CA45" s="129"/>
      <c r="CB45" s="129"/>
      <c r="CC45" s="129"/>
      <c r="CD45" s="129"/>
      <c r="CE45" s="129"/>
      <c r="CF45" s="129"/>
      <c r="CG45" s="129"/>
    </row>
    <row r="46" spans="1:85" ht="15.75" customHeight="1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30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  <c r="BP46" s="129"/>
      <c r="BQ46" s="129"/>
      <c r="BR46" s="129"/>
      <c r="BS46" s="129"/>
      <c r="BT46" s="129"/>
      <c r="BU46" s="129"/>
      <c r="BV46" s="129"/>
      <c r="BW46" s="129"/>
      <c r="BX46" s="129"/>
      <c r="BY46" s="129"/>
      <c r="BZ46" s="129"/>
      <c r="CA46" s="129"/>
      <c r="CB46" s="129"/>
      <c r="CC46" s="129"/>
      <c r="CD46" s="129"/>
      <c r="CE46" s="129"/>
      <c r="CF46" s="129"/>
      <c r="CG46" s="129"/>
    </row>
    <row r="47" spans="1:85" ht="15.75" customHeight="1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30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  <c r="BP47" s="129"/>
      <c r="BQ47" s="129"/>
      <c r="BR47" s="129"/>
      <c r="BS47" s="129"/>
      <c r="BT47" s="129"/>
      <c r="BU47" s="129"/>
      <c r="BV47" s="129"/>
      <c r="BW47" s="129"/>
      <c r="BX47" s="129"/>
      <c r="BY47" s="129"/>
      <c r="BZ47" s="129"/>
      <c r="CA47" s="129"/>
      <c r="CB47" s="129"/>
      <c r="CC47" s="129"/>
      <c r="CD47" s="129"/>
      <c r="CE47" s="129"/>
      <c r="CF47" s="129"/>
      <c r="CG47" s="129"/>
    </row>
    <row r="48" spans="1:85" ht="15.75" customHeight="1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30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  <c r="BP48" s="129"/>
      <c r="BQ48" s="129"/>
      <c r="BR48" s="129"/>
      <c r="BS48" s="129"/>
      <c r="BT48" s="129"/>
      <c r="BU48" s="129"/>
      <c r="BV48" s="129"/>
      <c r="BW48" s="129"/>
      <c r="BX48" s="129"/>
      <c r="BY48" s="129"/>
      <c r="BZ48" s="129"/>
      <c r="CA48" s="129"/>
      <c r="CB48" s="129"/>
      <c r="CC48" s="129"/>
      <c r="CD48" s="129"/>
      <c r="CE48" s="129"/>
      <c r="CF48" s="129"/>
      <c r="CG48" s="129"/>
    </row>
    <row r="49" spans="1:85" ht="15.75" customHeight="1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30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  <c r="BP49" s="129"/>
      <c r="BQ49" s="129"/>
      <c r="BR49" s="129"/>
      <c r="BS49" s="129"/>
      <c r="BT49" s="129"/>
      <c r="BU49" s="129"/>
      <c r="BV49" s="129"/>
      <c r="BW49" s="129"/>
      <c r="BX49" s="129"/>
      <c r="BY49" s="129"/>
      <c r="BZ49" s="129"/>
      <c r="CA49" s="129"/>
      <c r="CB49" s="129"/>
      <c r="CC49" s="129"/>
      <c r="CD49" s="129"/>
      <c r="CE49" s="129"/>
      <c r="CF49" s="129"/>
      <c r="CG49" s="129"/>
    </row>
    <row r="50" spans="1:85" ht="15.75" customHeight="1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30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  <c r="BP50" s="129"/>
      <c r="BQ50" s="129"/>
      <c r="BR50" s="129"/>
      <c r="BS50" s="129"/>
      <c r="BT50" s="129"/>
      <c r="BU50" s="129"/>
      <c r="BV50" s="129"/>
      <c r="BW50" s="129"/>
      <c r="BX50" s="129"/>
      <c r="BY50" s="129"/>
      <c r="BZ50" s="129"/>
      <c r="CA50" s="129"/>
      <c r="CB50" s="129"/>
      <c r="CC50" s="129"/>
      <c r="CD50" s="129"/>
      <c r="CE50" s="129"/>
      <c r="CF50" s="129"/>
      <c r="CG50" s="129"/>
    </row>
    <row r="51" spans="1:85" ht="15.75" customHeight="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30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  <c r="BP51" s="129"/>
      <c r="BQ51" s="129"/>
      <c r="BR51" s="129"/>
      <c r="BS51" s="129"/>
      <c r="BT51" s="129"/>
      <c r="BU51" s="129"/>
      <c r="BV51" s="129"/>
      <c r="BW51" s="129"/>
      <c r="BX51" s="129"/>
      <c r="BY51" s="129"/>
      <c r="BZ51" s="129"/>
      <c r="CA51" s="129"/>
      <c r="CB51" s="129"/>
      <c r="CC51" s="129"/>
      <c r="CD51" s="129"/>
      <c r="CE51" s="129"/>
      <c r="CF51" s="129"/>
      <c r="CG51" s="129"/>
    </row>
    <row r="52" spans="1:85" ht="15.75" customHeight="1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30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  <c r="BP52" s="129"/>
      <c r="BQ52" s="129"/>
      <c r="BR52" s="129"/>
      <c r="BS52" s="129"/>
      <c r="BT52" s="129"/>
      <c r="BU52" s="129"/>
      <c r="BV52" s="129"/>
      <c r="BW52" s="129"/>
      <c r="BX52" s="129"/>
      <c r="BY52" s="129"/>
      <c r="BZ52" s="129"/>
      <c r="CA52" s="129"/>
      <c r="CB52" s="129"/>
      <c r="CC52" s="129"/>
      <c r="CD52" s="129"/>
      <c r="CE52" s="129"/>
      <c r="CF52" s="129"/>
      <c r="CG52" s="129"/>
    </row>
    <row r="53" spans="1:85" ht="15.75" customHeight="1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30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  <c r="BP53" s="129"/>
      <c r="BQ53" s="129"/>
      <c r="BR53" s="129"/>
      <c r="BS53" s="129"/>
      <c r="BT53" s="129"/>
      <c r="BU53" s="129"/>
      <c r="BV53" s="129"/>
      <c r="BW53" s="129"/>
      <c r="BX53" s="129"/>
      <c r="BY53" s="129"/>
      <c r="BZ53" s="129"/>
      <c r="CA53" s="129"/>
      <c r="CB53" s="129"/>
      <c r="CC53" s="129"/>
      <c r="CD53" s="129"/>
      <c r="CE53" s="129"/>
      <c r="CF53" s="129"/>
      <c r="CG53" s="129"/>
    </row>
    <row r="54" spans="1:85" ht="15.75" customHeight="1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30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  <c r="BP54" s="129"/>
      <c r="BQ54" s="129"/>
      <c r="BR54" s="129"/>
      <c r="BS54" s="129"/>
      <c r="BT54" s="129"/>
      <c r="BU54" s="129"/>
      <c r="BV54" s="129"/>
      <c r="BW54" s="129"/>
      <c r="BX54" s="129"/>
      <c r="BY54" s="129"/>
      <c r="BZ54" s="129"/>
      <c r="CA54" s="129"/>
      <c r="CB54" s="129"/>
      <c r="CC54" s="129"/>
      <c r="CD54" s="129"/>
      <c r="CE54" s="129"/>
      <c r="CF54" s="129"/>
      <c r="CG54" s="129"/>
    </row>
    <row r="55" spans="1:85" ht="15.75" customHeight="1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30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  <c r="BP55" s="129"/>
      <c r="BQ55" s="129"/>
      <c r="BR55" s="129"/>
      <c r="BS55" s="129"/>
      <c r="BT55" s="129"/>
      <c r="BU55" s="129"/>
      <c r="BV55" s="129"/>
      <c r="BW55" s="129"/>
      <c r="BX55" s="129"/>
      <c r="BY55" s="129"/>
      <c r="BZ55" s="129"/>
      <c r="CA55" s="129"/>
      <c r="CB55" s="129"/>
      <c r="CC55" s="129"/>
      <c r="CD55" s="129"/>
      <c r="CE55" s="129"/>
      <c r="CF55" s="129"/>
      <c r="CG55" s="129"/>
    </row>
    <row r="56" spans="1:85" ht="15.75" customHeight="1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30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  <c r="BP56" s="129"/>
      <c r="BQ56" s="129"/>
      <c r="BR56" s="129"/>
      <c r="BS56" s="129"/>
      <c r="BT56" s="129"/>
      <c r="BU56" s="129"/>
      <c r="BV56" s="129"/>
      <c r="BW56" s="129"/>
      <c r="BX56" s="129"/>
      <c r="BY56" s="129"/>
      <c r="BZ56" s="129"/>
      <c r="CA56" s="129"/>
      <c r="CB56" s="129"/>
      <c r="CC56" s="129"/>
      <c r="CD56" s="129"/>
      <c r="CE56" s="129"/>
      <c r="CF56" s="129"/>
      <c r="CG56" s="129"/>
    </row>
    <row r="57" spans="1:85" ht="15.75" customHeight="1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30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  <c r="BP57" s="129"/>
      <c r="BQ57" s="129"/>
      <c r="BR57" s="129"/>
      <c r="BS57" s="129"/>
      <c r="BT57" s="129"/>
      <c r="BU57" s="129"/>
      <c r="BV57" s="129"/>
      <c r="BW57" s="129"/>
      <c r="BX57" s="129"/>
      <c r="BY57" s="129"/>
      <c r="BZ57" s="129"/>
      <c r="CA57" s="129"/>
      <c r="CB57" s="129"/>
      <c r="CC57" s="129"/>
      <c r="CD57" s="129"/>
      <c r="CE57" s="129"/>
      <c r="CF57" s="129"/>
      <c r="CG57" s="129"/>
    </row>
    <row r="58" spans="1:85" ht="15.75" customHeight="1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30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  <c r="BP58" s="129"/>
      <c r="BQ58" s="129"/>
      <c r="BR58" s="129"/>
      <c r="BS58" s="129"/>
      <c r="BT58" s="129"/>
      <c r="BU58" s="129"/>
      <c r="BV58" s="129"/>
      <c r="BW58" s="129"/>
      <c r="BX58" s="129"/>
      <c r="BY58" s="129"/>
      <c r="BZ58" s="129"/>
      <c r="CA58" s="129"/>
      <c r="CB58" s="129"/>
      <c r="CC58" s="129"/>
      <c r="CD58" s="129"/>
      <c r="CE58" s="129"/>
      <c r="CF58" s="129"/>
      <c r="CG58" s="129"/>
    </row>
    <row r="59" spans="1:85" ht="15.75" customHeight="1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30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  <c r="BP59" s="129"/>
      <c r="BQ59" s="129"/>
      <c r="BR59" s="129"/>
      <c r="BS59" s="129"/>
      <c r="BT59" s="129"/>
      <c r="BU59" s="129"/>
      <c r="BV59" s="129"/>
      <c r="BW59" s="129"/>
      <c r="BX59" s="129"/>
      <c r="BY59" s="129"/>
      <c r="BZ59" s="129"/>
      <c r="CA59" s="129"/>
      <c r="CB59" s="129"/>
      <c r="CC59" s="129"/>
      <c r="CD59" s="129"/>
      <c r="CE59" s="129"/>
      <c r="CF59" s="129"/>
      <c r="CG59" s="129"/>
    </row>
    <row r="60" spans="1:85" ht="15.75" customHeight="1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30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  <c r="BP60" s="129"/>
      <c r="BQ60" s="129"/>
      <c r="BR60" s="129"/>
      <c r="BS60" s="129"/>
      <c r="BT60" s="129"/>
      <c r="BU60" s="129"/>
      <c r="BV60" s="129"/>
      <c r="BW60" s="129"/>
      <c r="BX60" s="129"/>
      <c r="BY60" s="129"/>
      <c r="BZ60" s="129"/>
      <c r="CA60" s="129"/>
      <c r="CB60" s="129"/>
      <c r="CC60" s="129"/>
      <c r="CD60" s="129"/>
      <c r="CE60" s="129"/>
      <c r="CF60" s="129"/>
      <c r="CG60" s="129"/>
    </row>
    <row r="61" spans="1:85" ht="15.75" customHeight="1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30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29"/>
      <c r="BO61" s="129"/>
      <c r="BP61" s="129"/>
      <c r="BQ61" s="129"/>
      <c r="BR61" s="129"/>
      <c r="BS61" s="129"/>
      <c r="BT61" s="129"/>
      <c r="BU61" s="129"/>
      <c r="BV61" s="129"/>
      <c r="BW61" s="129"/>
      <c r="BX61" s="129"/>
      <c r="BY61" s="129"/>
      <c r="BZ61" s="129"/>
      <c r="CA61" s="129"/>
      <c r="CB61" s="129"/>
      <c r="CC61" s="129"/>
      <c r="CD61" s="129"/>
      <c r="CE61" s="129"/>
      <c r="CF61" s="129"/>
      <c r="CG61" s="129"/>
    </row>
    <row r="62" spans="1:85" ht="15.75" customHeight="1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30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29"/>
      <c r="BO62" s="129"/>
      <c r="BP62" s="129"/>
      <c r="BQ62" s="129"/>
      <c r="BR62" s="129"/>
      <c r="BS62" s="129"/>
      <c r="BT62" s="129"/>
      <c r="BU62" s="129"/>
      <c r="BV62" s="129"/>
      <c r="BW62" s="129"/>
      <c r="BX62" s="129"/>
      <c r="BY62" s="129"/>
      <c r="BZ62" s="129"/>
      <c r="CA62" s="129"/>
      <c r="CB62" s="129"/>
      <c r="CC62" s="129"/>
      <c r="CD62" s="129"/>
      <c r="CE62" s="129"/>
      <c r="CF62" s="129"/>
      <c r="CG62" s="129"/>
    </row>
    <row r="63" spans="1:85" ht="15.75" customHeight="1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30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/>
      <c r="AQ63" s="129"/>
      <c r="AR63" s="129"/>
      <c r="AS63" s="129"/>
      <c r="AT63" s="129"/>
      <c r="AU63" s="129"/>
      <c r="AV63" s="129"/>
      <c r="AW63" s="129"/>
      <c r="AX63" s="129"/>
      <c r="AY63" s="129"/>
      <c r="AZ63" s="129"/>
      <c r="BA63" s="129"/>
      <c r="BB63" s="129"/>
      <c r="BC63" s="129"/>
      <c r="BD63" s="129"/>
      <c r="BE63" s="129"/>
      <c r="BF63" s="129"/>
      <c r="BG63" s="129"/>
      <c r="BH63" s="129"/>
      <c r="BI63" s="129"/>
      <c r="BJ63" s="129"/>
      <c r="BK63" s="129"/>
      <c r="BL63" s="129"/>
      <c r="BM63" s="129"/>
      <c r="BN63" s="129"/>
      <c r="BO63" s="129"/>
      <c r="BP63" s="129"/>
      <c r="BQ63" s="129"/>
      <c r="BR63" s="129"/>
      <c r="BS63" s="129"/>
      <c r="BT63" s="129"/>
      <c r="BU63" s="129"/>
      <c r="BV63" s="129"/>
      <c r="BW63" s="129"/>
      <c r="BX63" s="129"/>
      <c r="BY63" s="129"/>
      <c r="BZ63" s="129"/>
      <c r="CA63" s="129"/>
      <c r="CB63" s="129"/>
      <c r="CC63" s="129"/>
      <c r="CD63" s="129"/>
      <c r="CE63" s="129"/>
      <c r="CF63" s="129"/>
      <c r="CG63" s="129"/>
    </row>
    <row r="64" spans="1:85" ht="15.75" customHeight="1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30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/>
      <c r="AQ64" s="129"/>
      <c r="AR64" s="129"/>
      <c r="AS64" s="129"/>
      <c r="AT64" s="129"/>
      <c r="AU64" s="129"/>
      <c r="AV64" s="129"/>
      <c r="AW64" s="129"/>
      <c r="AX64" s="129"/>
      <c r="AY64" s="129"/>
      <c r="AZ64" s="129"/>
      <c r="BA64" s="129"/>
      <c r="BB64" s="129"/>
      <c r="BC64" s="129"/>
      <c r="BD64" s="129"/>
      <c r="BE64" s="129"/>
      <c r="BF64" s="129"/>
      <c r="BG64" s="129"/>
      <c r="BH64" s="129"/>
      <c r="BI64" s="129"/>
      <c r="BJ64" s="129"/>
      <c r="BK64" s="129"/>
      <c r="BL64" s="129"/>
      <c r="BM64" s="129"/>
      <c r="BN64" s="129"/>
      <c r="BO64" s="129"/>
      <c r="BP64" s="129"/>
      <c r="BQ64" s="129"/>
      <c r="BR64" s="129"/>
      <c r="BS64" s="129"/>
      <c r="BT64" s="129"/>
      <c r="BU64" s="129"/>
      <c r="BV64" s="129"/>
      <c r="BW64" s="129"/>
      <c r="BX64" s="129"/>
      <c r="BY64" s="129"/>
      <c r="BZ64" s="129"/>
      <c r="CA64" s="129"/>
      <c r="CB64" s="129"/>
      <c r="CC64" s="129"/>
      <c r="CD64" s="129"/>
      <c r="CE64" s="129"/>
      <c r="CF64" s="129"/>
      <c r="CG64" s="129"/>
    </row>
    <row r="65" spans="1:85" ht="15.75" customHeight="1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30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/>
      <c r="AQ65" s="129"/>
      <c r="AR65" s="129"/>
      <c r="AS65" s="129"/>
      <c r="AT65" s="129"/>
      <c r="AU65" s="129"/>
      <c r="AV65" s="129"/>
      <c r="AW65" s="129"/>
      <c r="AX65" s="129"/>
      <c r="AY65" s="129"/>
      <c r="AZ65" s="129"/>
      <c r="BA65" s="129"/>
      <c r="BB65" s="129"/>
      <c r="BC65" s="129"/>
      <c r="BD65" s="129"/>
      <c r="BE65" s="129"/>
      <c r="BF65" s="129"/>
      <c r="BG65" s="129"/>
      <c r="BH65" s="129"/>
      <c r="BI65" s="129"/>
      <c r="BJ65" s="129"/>
      <c r="BK65" s="129"/>
      <c r="BL65" s="129"/>
      <c r="BM65" s="129"/>
      <c r="BN65" s="129"/>
      <c r="BO65" s="129"/>
      <c r="BP65" s="129"/>
      <c r="BQ65" s="129"/>
      <c r="BR65" s="129"/>
      <c r="BS65" s="129"/>
      <c r="BT65" s="129"/>
      <c r="BU65" s="129"/>
      <c r="BV65" s="129"/>
      <c r="BW65" s="129"/>
      <c r="BX65" s="129"/>
      <c r="BY65" s="129"/>
      <c r="BZ65" s="129"/>
      <c r="CA65" s="129"/>
      <c r="CB65" s="129"/>
      <c r="CC65" s="129"/>
      <c r="CD65" s="129"/>
      <c r="CE65" s="129"/>
      <c r="CF65" s="129"/>
      <c r="CG65" s="129"/>
    </row>
    <row r="66" spans="1:85" ht="15.75" customHeight="1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30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/>
      <c r="AQ66" s="129"/>
      <c r="AR66" s="129"/>
      <c r="AS66" s="129"/>
      <c r="AT66" s="129"/>
      <c r="AU66" s="129"/>
      <c r="AV66" s="129"/>
      <c r="AW66" s="129"/>
      <c r="AX66" s="129"/>
      <c r="AY66" s="129"/>
      <c r="AZ66" s="129"/>
      <c r="BA66" s="129"/>
      <c r="BB66" s="129"/>
      <c r="BC66" s="129"/>
      <c r="BD66" s="129"/>
      <c r="BE66" s="129"/>
      <c r="BF66" s="129"/>
      <c r="BG66" s="129"/>
      <c r="BH66" s="129"/>
      <c r="BI66" s="129"/>
      <c r="BJ66" s="129"/>
      <c r="BK66" s="129"/>
      <c r="BL66" s="129"/>
      <c r="BM66" s="129"/>
      <c r="BN66" s="129"/>
      <c r="BO66" s="129"/>
      <c r="BP66" s="129"/>
      <c r="BQ66" s="129"/>
      <c r="BR66" s="129"/>
      <c r="BS66" s="129"/>
      <c r="BT66" s="129"/>
      <c r="BU66" s="129"/>
      <c r="BV66" s="129"/>
      <c r="BW66" s="129"/>
      <c r="BX66" s="129"/>
      <c r="BY66" s="129"/>
      <c r="BZ66" s="129"/>
      <c r="CA66" s="129"/>
      <c r="CB66" s="129"/>
      <c r="CC66" s="129"/>
      <c r="CD66" s="129"/>
      <c r="CE66" s="129"/>
      <c r="CF66" s="129"/>
      <c r="CG66" s="129"/>
    </row>
    <row r="67" spans="1:85" ht="15.75" customHeight="1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30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129"/>
      <c r="AZ67" s="129"/>
      <c r="BA67" s="129"/>
      <c r="BB67" s="129"/>
      <c r="BC67" s="129"/>
      <c r="BD67" s="129"/>
      <c r="BE67" s="129"/>
      <c r="BF67" s="129"/>
      <c r="BG67" s="129"/>
      <c r="BH67" s="129"/>
      <c r="BI67" s="129"/>
      <c r="BJ67" s="129"/>
      <c r="BK67" s="129"/>
      <c r="BL67" s="129"/>
      <c r="BM67" s="129"/>
      <c r="BN67" s="129"/>
      <c r="BO67" s="129"/>
      <c r="BP67" s="129"/>
      <c r="BQ67" s="129"/>
      <c r="BR67" s="129"/>
      <c r="BS67" s="129"/>
      <c r="BT67" s="129"/>
      <c r="BU67" s="129"/>
      <c r="BV67" s="129"/>
      <c r="BW67" s="129"/>
      <c r="BX67" s="129"/>
      <c r="BY67" s="129"/>
      <c r="BZ67" s="129"/>
      <c r="CA67" s="129"/>
      <c r="CB67" s="129"/>
      <c r="CC67" s="129"/>
      <c r="CD67" s="129"/>
      <c r="CE67" s="129"/>
      <c r="CF67" s="129"/>
      <c r="CG67" s="129"/>
    </row>
    <row r="68" spans="1:85" ht="15.75" customHeight="1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30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129"/>
      <c r="AZ68" s="129"/>
      <c r="BA68" s="129"/>
      <c r="BB68" s="129"/>
      <c r="BC68" s="129"/>
      <c r="BD68" s="129"/>
      <c r="BE68" s="129"/>
      <c r="BF68" s="129"/>
      <c r="BG68" s="129"/>
      <c r="BH68" s="129"/>
      <c r="BI68" s="129"/>
      <c r="BJ68" s="129"/>
      <c r="BK68" s="129"/>
      <c r="BL68" s="129"/>
      <c r="BM68" s="129"/>
      <c r="BN68" s="129"/>
      <c r="BO68" s="129"/>
      <c r="BP68" s="129"/>
      <c r="BQ68" s="129"/>
      <c r="BR68" s="129"/>
      <c r="BS68" s="129"/>
      <c r="BT68" s="129"/>
      <c r="BU68" s="129"/>
      <c r="BV68" s="129"/>
      <c r="BW68" s="129"/>
      <c r="BX68" s="129"/>
      <c r="BY68" s="129"/>
      <c r="BZ68" s="129"/>
      <c r="CA68" s="129"/>
      <c r="CB68" s="129"/>
      <c r="CC68" s="129"/>
      <c r="CD68" s="129"/>
      <c r="CE68" s="129"/>
      <c r="CF68" s="129"/>
      <c r="CG68" s="129"/>
    </row>
    <row r="69" spans="1:85" ht="15.75" customHeight="1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30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/>
      <c r="AQ69" s="129"/>
      <c r="AR69" s="129"/>
      <c r="AS69" s="129"/>
      <c r="AT69" s="129"/>
      <c r="AU69" s="129"/>
      <c r="AV69" s="129"/>
      <c r="AW69" s="129"/>
      <c r="AX69" s="129"/>
      <c r="AY69" s="129"/>
      <c r="AZ69" s="129"/>
      <c r="BA69" s="129"/>
      <c r="BB69" s="129"/>
      <c r="BC69" s="129"/>
      <c r="BD69" s="129"/>
      <c r="BE69" s="129"/>
      <c r="BF69" s="129"/>
      <c r="BG69" s="129"/>
      <c r="BH69" s="129"/>
      <c r="BI69" s="129"/>
      <c r="BJ69" s="129"/>
      <c r="BK69" s="129"/>
      <c r="BL69" s="129"/>
      <c r="BM69" s="129"/>
      <c r="BN69" s="129"/>
      <c r="BO69" s="129"/>
      <c r="BP69" s="129"/>
      <c r="BQ69" s="129"/>
      <c r="BR69" s="129"/>
      <c r="BS69" s="129"/>
      <c r="BT69" s="129"/>
      <c r="BU69" s="129"/>
      <c r="BV69" s="129"/>
      <c r="BW69" s="129"/>
      <c r="BX69" s="129"/>
      <c r="BY69" s="129"/>
      <c r="BZ69" s="129"/>
      <c r="CA69" s="129"/>
      <c r="CB69" s="129"/>
      <c r="CC69" s="129"/>
      <c r="CD69" s="129"/>
      <c r="CE69" s="129"/>
      <c r="CF69" s="129"/>
      <c r="CG69" s="129"/>
    </row>
    <row r="70" spans="1:85" ht="15.75" customHeight="1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30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/>
      <c r="AQ70" s="129"/>
      <c r="AR70" s="129"/>
      <c r="AS70" s="129"/>
      <c r="AT70" s="129"/>
      <c r="AU70" s="129"/>
      <c r="AV70" s="129"/>
      <c r="AW70" s="129"/>
      <c r="AX70" s="129"/>
      <c r="AY70" s="129"/>
      <c r="AZ70" s="129"/>
      <c r="BA70" s="129"/>
      <c r="BB70" s="129"/>
      <c r="BC70" s="129"/>
      <c r="BD70" s="129"/>
      <c r="BE70" s="129"/>
      <c r="BF70" s="129"/>
      <c r="BG70" s="129"/>
      <c r="BH70" s="129"/>
      <c r="BI70" s="129"/>
      <c r="BJ70" s="129"/>
      <c r="BK70" s="129"/>
      <c r="BL70" s="129"/>
      <c r="BM70" s="129"/>
      <c r="BN70" s="129"/>
      <c r="BO70" s="129"/>
      <c r="BP70" s="129"/>
      <c r="BQ70" s="129"/>
      <c r="BR70" s="129"/>
      <c r="BS70" s="129"/>
      <c r="BT70" s="129"/>
      <c r="BU70" s="129"/>
      <c r="BV70" s="129"/>
      <c r="BW70" s="129"/>
      <c r="BX70" s="129"/>
      <c r="BY70" s="129"/>
      <c r="BZ70" s="129"/>
      <c r="CA70" s="129"/>
      <c r="CB70" s="129"/>
      <c r="CC70" s="129"/>
      <c r="CD70" s="129"/>
      <c r="CE70" s="129"/>
      <c r="CF70" s="129"/>
      <c r="CG70" s="129"/>
    </row>
    <row r="71" spans="1:85" ht="15.75" customHeight="1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30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129"/>
      <c r="AZ71" s="129"/>
      <c r="BA71" s="129"/>
      <c r="BB71" s="129"/>
      <c r="BC71" s="129"/>
      <c r="BD71" s="129"/>
      <c r="BE71" s="129"/>
      <c r="BF71" s="129"/>
      <c r="BG71" s="129"/>
      <c r="BH71" s="129"/>
      <c r="BI71" s="129"/>
      <c r="BJ71" s="129"/>
      <c r="BK71" s="129"/>
      <c r="BL71" s="129"/>
      <c r="BM71" s="129"/>
      <c r="BN71" s="129"/>
      <c r="BO71" s="129"/>
      <c r="BP71" s="129"/>
      <c r="BQ71" s="129"/>
      <c r="BR71" s="129"/>
      <c r="BS71" s="129"/>
      <c r="BT71" s="129"/>
      <c r="BU71" s="129"/>
      <c r="BV71" s="129"/>
      <c r="BW71" s="129"/>
      <c r="BX71" s="129"/>
      <c r="BY71" s="129"/>
      <c r="BZ71" s="129"/>
      <c r="CA71" s="129"/>
      <c r="CB71" s="129"/>
      <c r="CC71" s="129"/>
      <c r="CD71" s="129"/>
      <c r="CE71" s="129"/>
      <c r="CF71" s="129"/>
      <c r="CG71" s="129"/>
    </row>
    <row r="72" spans="1:85" ht="15.75" customHeight="1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30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129"/>
      <c r="AZ72" s="129"/>
      <c r="BA72" s="129"/>
      <c r="BB72" s="129"/>
      <c r="BC72" s="129"/>
      <c r="BD72" s="129"/>
      <c r="BE72" s="129"/>
      <c r="BF72" s="129"/>
      <c r="BG72" s="129"/>
      <c r="BH72" s="129"/>
      <c r="BI72" s="129"/>
      <c r="BJ72" s="129"/>
      <c r="BK72" s="129"/>
      <c r="BL72" s="129"/>
      <c r="BM72" s="129"/>
      <c r="BN72" s="129"/>
      <c r="BO72" s="129"/>
      <c r="BP72" s="129"/>
      <c r="BQ72" s="129"/>
      <c r="BR72" s="129"/>
      <c r="BS72" s="129"/>
      <c r="BT72" s="129"/>
      <c r="BU72" s="129"/>
      <c r="BV72" s="129"/>
      <c r="BW72" s="129"/>
      <c r="BX72" s="129"/>
      <c r="BY72" s="129"/>
      <c r="BZ72" s="129"/>
      <c r="CA72" s="129"/>
      <c r="CB72" s="129"/>
      <c r="CC72" s="129"/>
      <c r="CD72" s="129"/>
      <c r="CE72" s="129"/>
      <c r="CF72" s="129"/>
      <c r="CG72" s="129"/>
    </row>
    <row r="73" spans="1:85" ht="15.75" customHeight="1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30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  <c r="AN73" s="129"/>
      <c r="AO73" s="129"/>
      <c r="AP73" s="129"/>
      <c r="AQ73" s="129"/>
      <c r="AR73" s="129"/>
      <c r="AS73" s="129"/>
      <c r="AT73" s="129"/>
      <c r="AU73" s="129"/>
      <c r="AV73" s="129"/>
      <c r="AW73" s="129"/>
      <c r="AX73" s="129"/>
      <c r="AY73" s="129"/>
      <c r="AZ73" s="129"/>
      <c r="BA73" s="129"/>
      <c r="BB73" s="129"/>
      <c r="BC73" s="129"/>
      <c r="BD73" s="129"/>
      <c r="BE73" s="129"/>
      <c r="BF73" s="129"/>
      <c r="BG73" s="129"/>
      <c r="BH73" s="129"/>
      <c r="BI73" s="129"/>
      <c r="BJ73" s="129"/>
      <c r="BK73" s="129"/>
      <c r="BL73" s="129"/>
      <c r="BM73" s="129"/>
      <c r="BN73" s="129"/>
      <c r="BO73" s="129"/>
      <c r="BP73" s="129"/>
      <c r="BQ73" s="129"/>
      <c r="BR73" s="129"/>
      <c r="BS73" s="129"/>
      <c r="BT73" s="129"/>
      <c r="BU73" s="129"/>
      <c r="BV73" s="129"/>
      <c r="BW73" s="129"/>
      <c r="BX73" s="129"/>
      <c r="BY73" s="129"/>
      <c r="BZ73" s="129"/>
      <c r="CA73" s="129"/>
      <c r="CB73" s="129"/>
      <c r="CC73" s="129"/>
      <c r="CD73" s="129"/>
      <c r="CE73" s="129"/>
      <c r="CF73" s="129"/>
      <c r="CG73" s="129"/>
    </row>
    <row r="74" spans="1:85" ht="15.75" customHeight="1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30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/>
      <c r="AQ74" s="129"/>
      <c r="AR74" s="129"/>
      <c r="AS74" s="129"/>
      <c r="AT74" s="129"/>
      <c r="AU74" s="129"/>
      <c r="AV74" s="129"/>
      <c r="AW74" s="129"/>
      <c r="AX74" s="129"/>
      <c r="AY74" s="129"/>
      <c r="AZ74" s="129"/>
      <c r="BA74" s="129"/>
      <c r="BB74" s="129"/>
      <c r="BC74" s="129"/>
      <c r="BD74" s="129"/>
      <c r="BE74" s="129"/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29"/>
      <c r="BR74" s="129"/>
      <c r="BS74" s="129"/>
      <c r="BT74" s="129"/>
      <c r="BU74" s="129"/>
      <c r="BV74" s="129"/>
      <c r="BW74" s="129"/>
      <c r="BX74" s="129"/>
      <c r="BY74" s="129"/>
      <c r="BZ74" s="129"/>
      <c r="CA74" s="129"/>
      <c r="CB74" s="129"/>
      <c r="CC74" s="129"/>
      <c r="CD74" s="129"/>
      <c r="CE74" s="129"/>
      <c r="CF74" s="129"/>
      <c r="CG74" s="129"/>
    </row>
    <row r="75" spans="1:85" ht="15.75" customHeight="1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30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/>
      <c r="AQ75" s="129"/>
      <c r="AR75" s="129"/>
      <c r="AS75" s="129"/>
      <c r="AT75" s="129"/>
      <c r="AU75" s="129"/>
      <c r="AV75" s="129"/>
      <c r="AW75" s="129"/>
      <c r="AX75" s="129"/>
      <c r="AY75" s="129"/>
      <c r="AZ75" s="129"/>
      <c r="BA75" s="129"/>
      <c r="BB75" s="129"/>
      <c r="BC75" s="129"/>
      <c r="BD75" s="129"/>
      <c r="BE75" s="129"/>
      <c r="BF75" s="129"/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29"/>
      <c r="BV75" s="129"/>
      <c r="BW75" s="129"/>
      <c r="BX75" s="129"/>
      <c r="BY75" s="129"/>
      <c r="BZ75" s="129"/>
      <c r="CA75" s="129"/>
      <c r="CB75" s="129"/>
      <c r="CC75" s="129"/>
      <c r="CD75" s="129"/>
      <c r="CE75" s="129"/>
      <c r="CF75" s="129"/>
      <c r="CG75" s="129"/>
    </row>
    <row r="76" spans="1:85" ht="15.75" customHeight="1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30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/>
      <c r="AQ76" s="129"/>
      <c r="AR76" s="129"/>
      <c r="AS76" s="129"/>
      <c r="AT76" s="129"/>
      <c r="AU76" s="129"/>
      <c r="AV76" s="129"/>
      <c r="AW76" s="129"/>
      <c r="AX76" s="129"/>
      <c r="AY76" s="129"/>
      <c r="AZ76" s="129"/>
      <c r="BA76" s="129"/>
      <c r="BB76" s="129"/>
      <c r="BC76" s="129"/>
      <c r="BD76" s="129"/>
      <c r="BE76" s="129"/>
      <c r="BF76" s="129"/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29"/>
      <c r="BR76" s="129"/>
      <c r="BS76" s="129"/>
      <c r="BT76" s="129"/>
      <c r="BU76" s="129"/>
      <c r="BV76" s="129"/>
      <c r="BW76" s="129"/>
      <c r="BX76" s="129"/>
      <c r="BY76" s="129"/>
      <c r="BZ76" s="129"/>
      <c r="CA76" s="129"/>
      <c r="CB76" s="129"/>
      <c r="CC76" s="129"/>
      <c r="CD76" s="129"/>
      <c r="CE76" s="129"/>
      <c r="CF76" s="129"/>
      <c r="CG76" s="129"/>
    </row>
    <row r="77" spans="1:85" ht="15.75" customHeight="1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30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/>
      <c r="AQ77" s="129"/>
      <c r="AR77" s="129"/>
      <c r="AS77" s="129"/>
      <c r="AT77" s="129"/>
      <c r="AU77" s="129"/>
      <c r="AV77" s="129"/>
      <c r="AW77" s="129"/>
      <c r="AX77" s="129"/>
      <c r="AY77" s="129"/>
      <c r="AZ77" s="129"/>
      <c r="BA77" s="129"/>
      <c r="BB77" s="129"/>
      <c r="BC77" s="129"/>
      <c r="BD77" s="129"/>
      <c r="BE77" s="129"/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29"/>
      <c r="BR77" s="129"/>
      <c r="BS77" s="129"/>
      <c r="BT77" s="129"/>
      <c r="BU77" s="129"/>
      <c r="BV77" s="129"/>
      <c r="BW77" s="129"/>
      <c r="BX77" s="129"/>
      <c r="BY77" s="129"/>
      <c r="BZ77" s="129"/>
      <c r="CA77" s="129"/>
      <c r="CB77" s="129"/>
      <c r="CC77" s="129"/>
      <c r="CD77" s="129"/>
      <c r="CE77" s="129"/>
      <c r="CF77" s="129"/>
      <c r="CG77" s="129"/>
    </row>
    <row r="78" spans="1:85" ht="15.75" customHeight="1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30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/>
      <c r="AQ78" s="129"/>
      <c r="AR78" s="129"/>
      <c r="AS78" s="129"/>
      <c r="AT78" s="129"/>
      <c r="AU78" s="129"/>
      <c r="AV78" s="129"/>
      <c r="AW78" s="129"/>
      <c r="AX78" s="129"/>
      <c r="AY78" s="129"/>
      <c r="AZ78" s="129"/>
      <c r="BA78" s="129"/>
      <c r="BB78" s="129"/>
      <c r="BC78" s="129"/>
      <c r="BD78" s="129"/>
      <c r="BE78" s="129"/>
      <c r="BF78" s="129"/>
      <c r="BG78" s="129"/>
      <c r="BH78" s="129"/>
      <c r="BI78" s="129"/>
      <c r="BJ78" s="129"/>
      <c r="BK78" s="129"/>
      <c r="BL78" s="129"/>
      <c r="BM78" s="129"/>
      <c r="BN78" s="129"/>
      <c r="BO78" s="129"/>
      <c r="BP78" s="129"/>
      <c r="BQ78" s="129"/>
      <c r="BR78" s="129"/>
      <c r="BS78" s="129"/>
      <c r="BT78" s="129"/>
      <c r="BU78" s="129"/>
      <c r="BV78" s="129"/>
      <c r="BW78" s="129"/>
      <c r="BX78" s="129"/>
      <c r="BY78" s="129"/>
      <c r="BZ78" s="129"/>
      <c r="CA78" s="129"/>
      <c r="CB78" s="129"/>
      <c r="CC78" s="129"/>
      <c r="CD78" s="129"/>
      <c r="CE78" s="129"/>
      <c r="CF78" s="129"/>
      <c r="CG78" s="129"/>
    </row>
    <row r="79" spans="1:85" ht="15.75" customHeight="1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30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/>
      <c r="AQ79" s="129"/>
      <c r="AR79" s="129"/>
      <c r="AS79" s="129"/>
      <c r="AT79" s="129"/>
      <c r="AU79" s="129"/>
      <c r="AV79" s="129"/>
      <c r="AW79" s="129"/>
      <c r="AX79" s="129"/>
      <c r="AY79" s="129"/>
      <c r="AZ79" s="129"/>
      <c r="BA79" s="129"/>
      <c r="BB79" s="129"/>
      <c r="BC79" s="129"/>
      <c r="BD79" s="129"/>
      <c r="BE79" s="129"/>
      <c r="BF79" s="129"/>
      <c r="BG79" s="129"/>
      <c r="BH79" s="129"/>
      <c r="BI79" s="129"/>
      <c r="BJ79" s="129"/>
      <c r="BK79" s="129"/>
      <c r="BL79" s="129"/>
      <c r="BM79" s="129"/>
      <c r="BN79" s="129"/>
      <c r="BO79" s="129"/>
      <c r="BP79" s="129"/>
      <c r="BQ79" s="129"/>
      <c r="BR79" s="129"/>
      <c r="BS79" s="129"/>
      <c r="BT79" s="129"/>
      <c r="BU79" s="129"/>
      <c r="BV79" s="129"/>
      <c r="BW79" s="129"/>
      <c r="BX79" s="129"/>
      <c r="BY79" s="129"/>
      <c r="BZ79" s="129"/>
      <c r="CA79" s="129"/>
      <c r="CB79" s="129"/>
      <c r="CC79" s="129"/>
      <c r="CD79" s="129"/>
      <c r="CE79" s="129"/>
      <c r="CF79" s="129"/>
      <c r="CG79" s="129"/>
    </row>
    <row r="80" spans="1:85" ht="15.75" customHeight="1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30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/>
      <c r="AQ80" s="129"/>
      <c r="AR80" s="129"/>
      <c r="AS80" s="129"/>
      <c r="AT80" s="129"/>
      <c r="AU80" s="129"/>
      <c r="AV80" s="129"/>
      <c r="AW80" s="129"/>
      <c r="AX80" s="129"/>
      <c r="AY80" s="129"/>
      <c r="AZ80" s="129"/>
      <c r="BA80" s="129"/>
      <c r="BB80" s="129"/>
      <c r="BC80" s="129"/>
      <c r="BD80" s="129"/>
      <c r="BE80" s="129"/>
      <c r="BF80" s="129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29"/>
      <c r="BR80" s="129"/>
      <c r="BS80" s="129"/>
      <c r="BT80" s="129"/>
      <c r="BU80" s="129"/>
      <c r="BV80" s="129"/>
      <c r="BW80" s="129"/>
      <c r="BX80" s="129"/>
      <c r="BY80" s="129"/>
      <c r="BZ80" s="129"/>
      <c r="CA80" s="129"/>
      <c r="CB80" s="129"/>
      <c r="CC80" s="129"/>
      <c r="CD80" s="129"/>
      <c r="CE80" s="129"/>
      <c r="CF80" s="129"/>
      <c r="CG80" s="129"/>
    </row>
    <row r="81" spans="1:85" ht="15.75" customHeight="1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30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  <c r="AN81" s="129"/>
      <c r="AO81" s="129"/>
      <c r="AP81" s="129"/>
      <c r="AQ81" s="129"/>
      <c r="AR81" s="129"/>
      <c r="AS81" s="129"/>
      <c r="AT81" s="129"/>
      <c r="AU81" s="129"/>
      <c r="AV81" s="129"/>
      <c r="AW81" s="129"/>
      <c r="AX81" s="129"/>
      <c r="AY81" s="129"/>
      <c r="AZ81" s="129"/>
      <c r="BA81" s="129"/>
      <c r="BB81" s="129"/>
      <c r="BC81" s="129"/>
      <c r="BD81" s="129"/>
      <c r="BE81" s="129"/>
      <c r="BF81" s="129"/>
      <c r="BG81" s="129"/>
      <c r="BH81" s="129"/>
      <c r="BI81" s="129"/>
      <c r="BJ81" s="129"/>
      <c r="BK81" s="129"/>
      <c r="BL81" s="129"/>
      <c r="BM81" s="129"/>
      <c r="BN81" s="129"/>
      <c r="BO81" s="129"/>
      <c r="BP81" s="129"/>
      <c r="BQ81" s="129"/>
      <c r="BR81" s="129"/>
      <c r="BS81" s="129"/>
      <c r="BT81" s="129"/>
      <c r="BU81" s="129"/>
      <c r="BV81" s="129"/>
      <c r="BW81" s="129"/>
      <c r="BX81" s="129"/>
      <c r="BY81" s="129"/>
      <c r="BZ81" s="129"/>
      <c r="CA81" s="129"/>
      <c r="CB81" s="129"/>
      <c r="CC81" s="129"/>
      <c r="CD81" s="129"/>
      <c r="CE81" s="129"/>
      <c r="CF81" s="129"/>
      <c r="CG81" s="129"/>
    </row>
    <row r="82" spans="1:85" ht="15.75" customHeight="1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30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/>
      <c r="AQ82" s="129"/>
      <c r="AR82" s="129"/>
      <c r="AS82" s="129"/>
      <c r="AT82" s="129"/>
      <c r="AU82" s="129"/>
      <c r="AV82" s="129"/>
      <c r="AW82" s="129"/>
      <c r="AX82" s="129"/>
      <c r="AY82" s="129"/>
      <c r="AZ82" s="129"/>
      <c r="BA82" s="129"/>
      <c r="BB82" s="129"/>
      <c r="BC82" s="129"/>
      <c r="BD82" s="129"/>
      <c r="BE82" s="129"/>
      <c r="BF82" s="129"/>
      <c r="BG82" s="129"/>
      <c r="BH82" s="129"/>
      <c r="BI82" s="129"/>
      <c r="BJ82" s="129"/>
      <c r="BK82" s="129"/>
      <c r="BL82" s="129"/>
      <c r="BM82" s="129"/>
      <c r="BN82" s="129"/>
      <c r="BO82" s="129"/>
      <c r="BP82" s="129"/>
      <c r="BQ82" s="129"/>
      <c r="BR82" s="129"/>
      <c r="BS82" s="129"/>
      <c r="BT82" s="129"/>
      <c r="BU82" s="129"/>
      <c r="BV82" s="129"/>
      <c r="BW82" s="129"/>
      <c r="BX82" s="129"/>
      <c r="BY82" s="129"/>
      <c r="BZ82" s="129"/>
      <c r="CA82" s="129"/>
      <c r="CB82" s="129"/>
      <c r="CC82" s="129"/>
      <c r="CD82" s="129"/>
      <c r="CE82" s="129"/>
      <c r="CF82" s="129"/>
      <c r="CG82" s="129"/>
    </row>
    <row r="83" spans="1:85" ht="15.75" customHeight="1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30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/>
      <c r="AQ83" s="129"/>
      <c r="AR83" s="129"/>
      <c r="AS83" s="129"/>
      <c r="AT83" s="129"/>
      <c r="AU83" s="129"/>
      <c r="AV83" s="129"/>
      <c r="AW83" s="129"/>
      <c r="AX83" s="129"/>
      <c r="AY83" s="129"/>
      <c r="AZ83" s="129"/>
      <c r="BA83" s="129"/>
      <c r="BB83" s="129"/>
      <c r="BC83" s="129"/>
      <c r="BD83" s="129"/>
      <c r="BE83" s="129"/>
      <c r="BF83" s="129"/>
      <c r="BG83" s="129"/>
      <c r="BH83" s="129"/>
      <c r="BI83" s="129"/>
      <c r="BJ83" s="129"/>
      <c r="BK83" s="129"/>
      <c r="BL83" s="129"/>
      <c r="BM83" s="129"/>
      <c r="BN83" s="129"/>
      <c r="BO83" s="129"/>
      <c r="BP83" s="129"/>
      <c r="BQ83" s="129"/>
      <c r="BR83" s="129"/>
      <c r="BS83" s="129"/>
      <c r="BT83" s="129"/>
      <c r="BU83" s="129"/>
      <c r="BV83" s="129"/>
      <c r="BW83" s="129"/>
      <c r="BX83" s="129"/>
      <c r="BY83" s="129"/>
      <c r="BZ83" s="129"/>
      <c r="CA83" s="129"/>
      <c r="CB83" s="129"/>
      <c r="CC83" s="129"/>
      <c r="CD83" s="129"/>
      <c r="CE83" s="129"/>
      <c r="CF83" s="129"/>
      <c r="CG83" s="129"/>
    </row>
    <row r="84" spans="1:85" ht="15.75" customHeight="1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30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/>
      <c r="AQ84" s="129"/>
      <c r="AR84" s="129"/>
      <c r="AS84" s="129"/>
      <c r="AT84" s="129"/>
      <c r="AU84" s="129"/>
      <c r="AV84" s="129"/>
      <c r="AW84" s="129"/>
      <c r="AX84" s="129"/>
      <c r="AY84" s="129"/>
      <c r="AZ84" s="129"/>
      <c r="BA84" s="129"/>
      <c r="BB84" s="129"/>
      <c r="BC84" s="129"/>
      <c r="BD84" s="129"/>
      <c r="BE84" s="129"/>
      <c r="BF84" s="129"/>
      <c r="BG84" s="129"/>
      <c r="BH84" s="129"/>
      <c r="BI84" s="129"/>
      <c r="BJ84" s="129"/>
      <c r="BK84" s="129"/>
      <c r="BL84" s="129"/>
      <c r="BM84" s="129"/>
      <c r="BN84" s="129"/>
      <c r="BO84" s="129"/>
      <c r="BP84" s="129"/>
      <c r="BQ84" s="129"/>
      <c r="BR84" s="129"/>
      <c r="BS84" s="129"/>
      <c r="BT84" s="129"/>
      <c r="BU84" s="129"/>
      <c r="BV84" s="129"/>
      <c r="BW84" s="129"/>
      <c r="BX84" s="129"/>
      <c r="BY84" s="129"/>
      <c r="BZ84" s="129"/>
      <c r="CA84" s="129"/>
      <c r="CB84" s="129"/>
      <c r="CC84" s="129"/>
      <c r="CD84" s="129"/>
      <c r="CE84" s="129"/>
      <c r="CF84" s="129"/>
      <c r="CG84" s="129"/>
    </row>
    <row r="85" spans="1:85" ht="15.75" customHeight="1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30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/>
      <c r="AQ85" s="129"/>
      <c r="AR85" s="129"/>
      <c r="AS85" s="129"/>
      <c r="AT85" s="129"/>
      <c r="AU85" s="129"/>
      <c r="AV85" s="129"/>
      <c r="AW85" s="129"/>
      <c r="AX85" s="129"/>
      <c r="AY85" s="129"/>
      <c r="AZ85" s="129"/>
      <c r="BA85" s="129"/>
      <c r="BB85" s="129"/>
      <c r="BC85" s="129"/>
      <c r="BD85" s="129"/>
      <c r="BE85" s="129"/>
      <c r="BF85" s="129"/>
      <c r="BG85" s="129"/>
      <c r="BH85" s="129"/>
      <c r="BI85" s="129"/>
      <c r="BJ85" s="129"/>
      <c r="BK85" s="129"/>
      <c r="BL85" s="129"/>
      <c r="BM85" s="129"/>
      <c r="BN85" s="129"/>
      <c r="BO85" s="129"/>
      <c r="BP85" s="129"/>
      <c r="BQ85" s="129"/>
      <c r="BR85" s="129"/>
      <c r="BS85" s="129"/>
      <c r="BT85" s="129"/>
      <c r="BU85" s="129"/>
      <c r="BV85" s="129"/>
      <c r="BW85" s="129"/>
      <c r="BX85" s="129"/>
      <c r="BY85" s="129"/>
      <c r="BZ85" s="129"/>
      <c r="CA85" s="129"/>
      <c r="CB85" s="129"/>
      <c r="CC85" s="129"/>
      <c r="CD85" s="129"/>
      <c r="CE85" s="129"/>
      <c r="CF85" s="129"/>
      <c r="CG85" s="129"/>
    </row>
    <row r="86" spans="1:85" ht="15.75" customHeight="1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30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/>
      <c r="AQ86" s="129"/>
      <c r="AR86" s="129"/>
      <c r="AS86" s="129"/>
      <c r="AT86" s="129"/>
      <c r="AU86" s="129"/>
      <c r="AV86" s="129"/>
      <c r="AW86" s="129"/>
      <c r="AX86" s="129"/>
      <c r="AY86" s="129"/>
      <c r="AZ86" s="129"/>
      <c r="BA86" s="129"/>
      <c r="BB86" s="129"/>
      <c r="BC86" s="129"/>
      <c r="BD86" s="129"/>
      <c r="BE86" s="129"/>
      <c r="BF86" s="129"/>
      <c r="BG86" s="129"/>
      <c r="BH86" s="129"/>
      <c r="BI86" s="129"/>
      <c r="BJ86" s="129"/>
      <c r="BK86" s="129"/>
      <c r="BL86" s="129"/>
      <c r="BM86" s="129"/>
      <c r="BN86" s="129"/>
      <c r="BO86" s="129"/>
      <c r="BP86" s="129"/>
      <c r="BQ86" s="129"/>
      <c r="BR86" s="129"/>
      <c r="BS86" s="129"/>
      <c r="BT86" s="129"/>
      <c r="BU86" s="129"/>
      <c r="BV86" s="129"/>
      <c r="BW86" s="129"/>
      <c r="BX86" s="129"/>
      <c r="BY86" s="129"/>
      <c r="BZ86" s="129"/>
      <c r="CA86" s="129"/>
      <c r="CB86" s="129"/>
      <c r="CC86" s="129"/>
      <c r="CD86" s="129"/>
      <c r="CE86" s="129"/>
      <c r="CF86" s="129"/>
      <c r="CG86" s="129"/>
    </row>
    <row r="87" spans="1:85" ht="15.75" customHeight="1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30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/>
      <c r="AQ87" s="129"/>
      <c r="AR87" s="129"/>
      <c r="AS87" s="129"/>
      <c r="AT87" s="129"/>
      <c r="AU87" s="129"/>
      <c r="AV87" s="129"/>
      <c r="AW87" s="129"/>
      <c r="AX87" s="129"/>
      <c r="AY87" s="129"/>
      <c r="AZ87" s="129"/>
      <c r="BA87" s="129"/>
      <c r="BB87" s="129"/>
      <c r="BC87" s="129"/>
      <c r="BD87" s="129"/>
      <c r="BE87" s="129"/>
      <c r="BF87" s="129"/>
      <c r="BG87" s="129"/>
      <c r="BH87" s="129"/>
      <c r="BI87" s="129"/>
      <c r="BJ87" s="129"/>
      <c r="BK87" s="129"/>
      <c r="BL87" s="129"/>
      <c r="BM87" s="129"/>
      <c r="BN87" s="129"/>
      <c r="BO87" s="129"/>
      <c r="BP87" s="129"/>
      <c r="BQ87" s="129"/>
      <c r="BR87" s="129"/>
      <c r="BS87" s="129"/>
      <c r="BT87" s="129"/>
      <c r="BU87" s="129"/>
      <c r="BV87" s="129"/>
      <c r="BW87" s="129"/>
      <c r="BX87" s="129"/>
      <c r="BY87" s="129"/>
      <c r="BZ87" s="129"/>
      <c r="CA87" s="129"/>
      <c r="CB87" s="129"/>
      <c r="CC87" s="129"/>
      <c r="CD87" s="129"/>
      <c r="CE87" s="129"/>
      <c r="CF87" s="129"/>
      <c r="CG87" s="129"/>
    </row>
    <row r="88" spans="1:85" ht="15.75" customHeight="1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30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/>
      <c r="AQ88" s="129"/>
      <c r="AR88" s="129"/>
      <c r="AS88" s="129"/>
      <c r="AT88" s="129"/>
      <c r="AU88" s="129"/>
      <c r="AV88" s="129"/>
      <c r="AW88" s="129"/>
      <c r="AX88" s="129"/>
      <c r="AY88" s="129"/>
      <c r="AZ88" s="129"/>
      <c r="BA88" s="129"/>
      <c r="BB88" s="129"/>
      <c r="BC88" s="129"/>
      <c r="BD88" s="129"/>
      <c r="BE88" s="129"/>
      <c r="BF88" s="129"/>
      <c r="BG88" s="129"/>
      <c r="BH88" s="129"/>
      <c r="BI88" s="129"/>
      <c r="BJ88" s="129"/>
      <c r="BK88" s="129"/>
      <c r="BL88" s="129"/>
      <c r="BM88" s="129"/>
      <c r="BN88" s="129"/>
      <c r="BO88" s="129"/>
      <c r="BP88" s="129"/>
      <c r="BQ88" s="129"/>
      <c r="BR88" s="129"/>
      <c r="BS88" s="129"/>
      <c r="BT88" s="129"/>
      <c r="BU88" s="129"/>
      <c r="BV88" s="129"/>
      <c r="BW88" s="129"/>
      <c r="BX88" s="129"/>
      <c r="BY88" s="129"/>
      <c r="BZ88" s="129"/>
      <c r="CA88" s="129"/>
      <c r="CB88" s="129"/>
      <c r="CC88" s="129"/>
      <c r="CD88" s="129"/>
      <c r="CE88" s="129"/>
      <c r="CF88" s="129"/>
      <c r="CG88" s="129"/>
    </row>
    <row r="89" spans="1:85" ht="15.75" customHeight="1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30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129"/>
      <c r="AZ89" s="129"/>
      <c r="BA89" s="129"/>
      <c r="BB89" s="129"/>
      <c r="BC89" s="129"/>
      <c r="BD89" s="129"/>
      <c r="BE89" s="129"/>
      <c r="BF89" s="129"/>
      <c r="BG89" s="129"/>
      <c r="BH89" s="129"/>
      <c r="BI89" s="129"/>
      <c r="BJ89" s="129"/>
      <c r="BK89" s="129"/>
      <c r="BL89" s="129"/>
      <c r="BM89" s="129"/>
      <c r="BN89" s="129"/>
      <c r="BO89" s="129"/>
      <c r="BP89" s="129"/>
      <c r="BQ89" s="129"/>
      <c r="BR89" s="129"/>
      <c r="BS89" s="129"/>
      <c r="BT89" s="129"/>
      <c r="BU89" s="129"/>
      <c r="BV89" s="129"/>
      <c r="BW89" s="129"/>
      <c r="BX89" s="129"/>
      <c r="BY89" s="129"/>
      <c r="BZ89" s="129"/>
      <c r="CA89" s="129"/>
      <c r="CB89" s="129"/>
      <c r="CC89" s="129"/>
      <c r="CD89" s="129"/>
      <c r="CE89" s="129"/>
      <c r="CF89" s="129"/>
      <c r="CG89" s="129"/>
    </row>
    <row r="90" spans="1:85" ht="15.75" customHeight="1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30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129"/>
      <c r="AZ90" s="129"/>
      <c r="BA90" s="129"/>
      <c r="BB90" s="129"/>
      <c r="BC90" s="129"/>
      <c r="BD90" s="129"/>
      <c r="BE90" s="129"/>
      <c r="BF90" s="129"/>
      <c r="BG90" s="129"/>
      <c r="BH90" s="129"/>
      <c r="BI90" s="129"/>
      <c r="BJ90" s="129"/>
      <c r="BK90" s="129"/>
      <c r="BL90" s="129"/>
      <c r="BM90" s="129"/>
      <c r="BN90" s="129"/>
      <c r="BO90" s="129"/>
      <c r="BP90" s="129"/>
      <c r="BQ90" s="129"/>
      <c r="BR90" s="129"/>
      <c r="BS90" s="129"/>
      <c r="BT90" s="129"/>
      <c r="BU90" s="129"/>
      <c r="BV90" s="129"/>
      <c r="BW90" s="129"/>
      <c r="BX90" s="129"/>
      <c r="BY90" s="129"/>
      <c r="BZ90" s="129"/>
      <c r="CA90" s="129"/>
      <c r="CB90" s="129"/>
      <c r="CC90" s="129"/>
      <c r="CD90" s="129"/>
      <c r="CE90" s="129"/>
      <c r="CF90" s="129"/>
      <c r="CG90" s="129"/>
    </row>
    <row r="91" spans="1:85" ht="15.75" customHeight="1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30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  <c r="AM91" s="129"/>
      <c r="AN91" s="129"/>
      <c r="AO91" s="129"/>
      <c r="AP91" s="129"/>
      <c r="AQ91" s="129"/>
      <c r="AR91" s="129"/>
      <c r="AS91" s="129"/>
      <c r="AT91" s="129"/>
      <c r="AU91" s="129"/>
      <c r="AV91" s="129"/>
      <c r="AW91" s="129"/>
      <c r="AX91" s="129"/>
      <c r="AY91" s="129"/>
      <c r="AZ91" s="129"/>
      <c r="BA91" s="129"/>
      <c r="BB91" s="129"/>
      <c r="BC91" s="129"/>
      <c r="BD91" s="129"/>
      <c r="BE91" s="129"/>
      <c r="BF91" s="129"/>
      <c r="BG91" s="129"/>
      <c r="BH91" s="129"/>
      <c r="BI91" s="129"/>
      <c r="BJ91" s="129"/>
      <c r="BK91" s="129"/>
      <c r="BL91" s="129"/>
      <c r="BM91" s="129"/>
      <c r="BN91" s="129"/>
      <c r="BO91" s="129"/>
      <c r="BP91" s="129"/>
      <c r="BQ91" s="129"/>
      <c r="BR91" s="129"/>
      <c r="BS91" s="129"/>
      <c r="BT91" s="129"/>
      <c r="BU91" s="129"/>
      <c r="BV91" s="129"/>
      <c r="BW91" s="129"/>
      <c r="BX91" s="129"/>
      <c r="BY91" s="129"/>
      <c r="BZ91" s="129"/>
      <c r="CA91" s="129"/>
      <c r="CB91" s="129"/>
      <c r="CC91" s="129"/>
      <c r="CD91" s="129"/>
      <c r="CE91" s="129"/>
      <c r="CF91" s="129"/>
      <c r="CG91" s="129"/>
    </row>
    <row r="92" spans="1:85" ht="15.75" customHeight="1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30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/>
      <c r="AQ92" s="129"/>
      <c r="AR92" s="129"/>
      <c r="AS92" s="129"/>
      <c r="AT92" s="129"/>
      <c r="AU92" s="129"/>
      <c r="AV92" s="129"/>
      <c r="AW92" s="129"/>
      <c r="AX92" s="129"/>
      <c r="AY92" s="129"/>
      <c r="AZ92" s="129"/>
      <c r="BA92" s="129"/>
      <c r="BB92" s="129"/>
      <c r="BC92" s="129"/>
      <c r="BD92" s="129"/>
      <c r="BE92" s="129"/>
      <c r="BF92" s="129"/>
      <c r="BG92" s="129"/>
      <c r="BH92" s="129"/>
      <c r="BI92" s="129"/>
      <c r="BJ92" s="129"/>
      <c r="BK92" s="129"/>
      <c r="BL92" s="129"/>
      <c r="BM92" s="129"/>
      <c r="BN92" s="129"/>
      <c r="BO92" s="129"/>
      <c r="BP92" s="129"/>
      <c r="BQ92" s="129"/>
      <c r="BR92" s="129"/>
      <c r="BS92" s="129"/>
      <c r="BT92" s="129"/>
      <c r="BU92" s="129"/>
      <c r="BV92" s="129"/>
      <c r="BW92" s="129"/>
      <c r="BX92" s="129"/>
      <c r="BY92" s="129"/>
      <c r="BZ92" s="129"/>
      <c r="CA92" s="129"/>
      <c r="CB92" s="129"/>
      <c r="CC92" s="129"/>
      <c r="CD92" s="129"/>
      <c r="CE92" s="129"/>
      <c r="CF92" s="129"/>
      <c r="CG92" s="129"/>
    </row>
    <row r="93" spans="1:85" ht="15.75" customHeight="1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30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/>
      <c r="AQ93" s="129"/>
      <c r="AR93" s="129"/>
      <c r="AS93" s="129"/>
      <c r="AT93" s="129"/>
      <c r="AU93" s="129"/>
      <c r="AV93" s="129"/>
      <c r="AW93" s="129"/>
      <c r="AX93" s="129"/>
      <c r="AY93" s="129"/>
      <c r="AZ93" s="129"/>
      <c r="BA93" s="129"/>
      <c r="BB93" s="129"/>
      <c r="BC93" s="129"/>
      <c r="BD93" s="129"/>
      <c r="BE93" s="129"/>
      <c r="BF93" s="129"/>
      <c r="BG93" s="129"/>
      <c r="BH93" s="129"/>
      <c r="BI93" s="129"/>
      <c r="BJ93" s="129"/>
      <c r="BK93" s="129"/>
      <c r="BL93" s="129"/>
      <c r="BM93" s="129"/>
      <c r="BN93" s="129"/>
      <c r="BO93" s="129"/>
      <c r="BP93" s="129"/>
      <c r="BQ93" s="129"/>
      <c r="BR93" s="129"/>
      <c r="BS93" s="129"/>
      <c r="BT93" s="129"/>
      <c r="BU93" s="129"/>
      <c r="BV93" s="129"/>
      <c r="BW93" s="129"/>
      <c r="BX93" s="129"/>
      <c r="BY93" s="129"/>
      <c r="BZ93" s="129"/>
      <c r="CA93" s="129"/>
      <c r="CB93" s="129"/>
      <c r="CC93" s="129"/>
      <c r="CD93" s="129"/>
      <c r="CE93" s="129"/>
      <c r="CF93" s="129"/>
      <c r="CG93" s="129"/>
    </row>
    <row r="94" spans="1:85" ht="15.75" customHeight="1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30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/>
      <c r="AQ94" s="129"/>
      <c r="AR94" s="129"/>
      <c r="AS94" s="129"/>
      <c r="AT94" s="129"/>
      <c r="AU94" s="129"/>
      <c r="AV94" s="129"/>
      <c r="AW94" s="129"/>
      <c r="AX94" s="129"/>
      <c r="AY94" s="129"/>
      <c r="AZ94" s="129"/>
      <c r="BA94" s="129"/>
      <c r="BB94" s="129"/>
      <c r="BC94" s="129"/>
      <c r="BD94" s="129"/>
      <c r="BE94" s="129"/>
      <c r="BF94" s="129"/>
      <c r="BG94" s="129"/>
      <c r="BH94" s="129"/>
      <c r="BI94" s="129"/>
      <c r="BJ94" s="129"/>
      <c r="BK94" s="129"/>
      <c r="BL94" s="129"/>
      <c r="BM94" s="129"/>
      <c r="BN94" s="129"/>
      <c r="BO94" s="129"/>
      <c r="BP94" s="129"/>
      <c r="BQ94" s="129"/>
      <c r="BR94" s="129"/>
      <c r="BS94" s="129"/>
      <c r="BT94" s="129"/>
      <c r="BU94" s="129"/>
      <c r="BV94" s="129"/>
      <c r="BW94" s="129"/>
      <c r="BX94" s="129"/>
      <c r="BY94" s="129"/>
      <c r="BZ94" s="129"/>
      <c r="CA94" s="129"/>
      <c r="CB94" s="129"/>
      <c r="CC94" s="129"/>
      <c r="CD94" s="129"/>
      <c r="CE94" s="129"/>
      <c r="CF94" s="129"/>
      <c r="CG94" s="129"/>
    </row>
    <row r="95" spans="1:85" ht="15.75" customHeight="1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30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/>
      <c r="AQ95" s="129"/>
      <c r="AR95" s="129"/>
      <c r="AS95" s="129"/>
      <c r="AT95" s="129"/>
      <c r="AU95" s="129"/>
      <c r="AV95" s="129"/>
      <c r="AW95" s="129"/>
      <c r="AX95" s="129"/>
      <c r="AY95" s="129"/>
      <c r="AZ95" s="129"/>
      <c r="BA95" s="129"/>
      <c r="BB95" s="129"/>
      <c r="BC95" s="129"/>
      <c r="BD95" s="129"/>
      <c r="BE95" s="129"/>
      <c r="BF95" s="129"/>
      <c r="BG95" s="129"/>
      <c r="BH95" s="129"/>
      <c r="BI95" s="129"/>
      <c r="BJ95" s="129"/>
      <c r="BK95" s="129"/>
      <c r="BL95" s="129"/>
      <c r="BM95" s="129"/>
      <c r="BN95" s="129"/>
      <c r="BO95" s="129"/>
      <c r="BP95" s="129"/>
      <c r="BQ95" s="129"/>
      <c r="BR95" s="129"/>
      <c r="BS95" s="129"/>
      <c r="BT95" s="129"/>
      <c r="BU95" s="129"/>
      <c r="BV95" s="129"/>
      <c r="BW95" s="129"/>
      <c r="BX95" s="129"/>
      <c r="BY95" s="129"/>
      <c r="BZ95" s="129"/>
      <c r="CA95" s="129"/>
      <c r="CB95" s="129"/>
      <c r="CC95" s="129"/>
      <c r="CD95" s="129"/>
      <c r="CE95" s="129"/>
      <c r="CF95" s="129"/>
      <c r="CG95" s="129"/>
    </row>
    <row r="96" spans="1:85" ht="15.75" customHeight="1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30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/>
      <c r="AQ96" s="129"/>
      <c r="AR96" s="129"/>
      <c r="AS96" s="129"/>
      <c r="AT96" s="129"/>
      <c r="AU96" s="129"/>
      <c r="AV96" s="129"/>
      <c r="AW96" s="129"/>
      <c r="AX96" s="129"/>
      <c r="AY96" s="129"/>
      <c r="AZ96" s="129"/>
      <c r="BA96" s="129"/>
      <c r="BB96" s="129"/>
      <c r="BC96" s="129"/>
      <c r="BD96" s="129"/>
      <c r="BE96" s="129"/>
      <c r="BF96" s="129"/>
      <c r="BG96" s="129"/>
      <c r="BH96" s="129"/>
      <c r="BI96" s="129"/>
      <c r="BJ96" s="129"/>
      <c r="BK96" s="129"/>
      <c r="BL96" s="129"/>
      <c r="BM96" s="129"/>
      <c r="BN96" s="129"/>
      <c r="BO96" s="129"/>
      <c r="BP96" s="129"/>
      <c r="BQ96" s="129"/>
      <c r="BR96" s="129"/>
      <c r="BS96" s="129"/>
      <c r="BT96" s="129"/>
      <c r="BU96" s="129"/>
      <c r="BV96" s="129"/>
      <c r="BW96" s="129"/>
      <c r="BX96" s="129"/>
      <c r="BY96" s="129"/>
      <c r="BZ96" s="129"/>
      <c r="CA96" s="129"/>
      <c r="CB96" s="129"/>
      <c r="CC96" s="129"/>
      <c r="CD96" s="129"/>
      <c r="CE96" s="129"/>
      <c r="CF96" s="129"/>
      <c r="CG96" s="129"/>
    </row>
    <row r="97" spans="1:85" ht="15.75" customHeight="1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30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/>
      <c r="AQ97" s="129"/>
      <c r="AR97" s="129"/>
      <c r="AS97" s="129"/>
      <c r="AT97" s="129"/>
      <c r="AU97" s="129"/>
      <c r="AV97" s="129"/>
      <c r="AW97" s="129"/>
      <c r="AX97" s="129"/>
      <c r="AY97" s="129"/>
      <c r="AZ97" s="129"/>
      <c r="BA97" s="129"/>
      <c r="BB97" s="129"/>
      <c r="BC97" s="129"/>
      <c r="BD97" s="129"/>
      <c r="BE97" s="129"/>
      <c r="BF97" s="129"/>
      <c r="BG97" s="129"/>
      <c r="BH97" s="129"/>
      <c r="BI97" s="129"/>
      <c r="BJ97" s="129"/>
      <c r="BK97" s="129"/>
      <c r="BL97" s="129"/>
      <c r="BM97" s="129"/>
      <c r="BN97" s="129"/>
      <c r="BO97" s="129"/>
      <c r="BP97" s="129"/>
      <c r="BQ97" s="129"/>
      <c r="BR97" s="129"/>
      <c r="BS97" s="129"/>
      <c r="BT97" s="129"/>
      <c r="BU97" s="129"/>
      <c r="BV97" s="129"/>
      <c r="BW97" s="129"/>
      <c r="BX97" s="129"/>
      <c r="BY97" s="129"/>
      <c r="BZ97" s="129"/>
      <c r="CA97" s="129"/>
      <c r="CB97" s="129"/>
      <c r="CC97" s="129"/>
      <c r="CD97" s="129"/>
      <c r="CE97" s="129"/>
      <c r="CF97" s="129"/>
      <c r="CG97" s="129"/>
    </row>
    <row r="98" spans="1:85" ht="15.75" customHeight="1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30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/>
      <c r="AQ98" s="129"/>
      <c r="AR98" s="129"/>
      <c r="AS98" s="129"/>
      <c r="AT98" s="129"/>
      <c r="AU98" s="129"/>
      <c r="AV98" s="129"/>
      <c r="AW98" s="129"/>
      <c r="AX98" s="129"/>
      <c r="AY98" s="129"/>
      <c r="AZ98" s="129"/>
      <c r="BA98" s="129"/>
      <c r="BB98" s="129"/>
      <c r="BC98" s="129"/>
      <c r="BD98" s="129"/>
      <c r="BE98" s="129"/>
      <c r="BF98" s="129"/>
      <c r="BG98" s="129"/>
      <c r="BH98" s="129"/>
      <c r="BI98" s="129"/>
      <c r="BJ98" s="129"/>
      <c r="BK98" s="129"/>
      <c r="BL98" s="129"/>
      <c r="BM98" s="129"/>
      <c r="BN98" s="129"/>
      <c r="BO98" s="129"/>
      <c r="BP98" s="129"/>
      <c r="BQ98" s="129"/>
      <c r="BR98" s="129"/>
      <c r="BS98" s="129"/>
      <c r="BT98" s="129"/>
      <c r="BU98" s="129"/>
      <c r="BV98" s="129"/>
      <c r="BW98" s="129"/>
      <c r="BX98" s="129"/>
      <c r="BY98" s="129"/>
      <c r="BZ98" s="129"/>
      <c r="CA98" s="129"/>
      <c r="CB98" s="129"/>
      <c r="CC98" s="129"/>
      <c r="CD98" s="129"/>
      <c r="CE98" s="129"/>
      <c r="CF98" s="129"/>
      <c r="CG98" s="129"/>
    </row>
    <row r="99" spans="1:85" ht="15.75" customHeight="1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30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  <c r="BA99" s="129"/>
      <c r="BB99" s="129"/>
      <c r="BC99" s="129"/>
      <c r="BD99" s="129"/>
      <c r="BE99" s="129"/>
      <c r="BF99" s="129"/>
      <c r="BG99" s="129"/>
      <c r="BH99" s="129"/>
      <c r="BI99" s="129"/>
      <c r="BJ99" s="129"/>
      <c r="BK99" s="129"/>
      <c r="BL99" s="129"/>
      <c r="BM99" s="129"/>
      <c r="BN99" s="129"/>
      <c r="BO99" s="129"/>
      <c r="BP99" s="129"/>
      <c r="BQ99" s="129"/>
      <c r="BR99" s="129"/>
      <c r="BS99" s="129"/>
      <c r="BT99" s="129"/>
      <c r="BU99" s="129"/>
      <c r="BV99" s="129"/>
      <c r="BW99" s="129"/>
      <c r="BX99" s="129"/>
      <c r="BY99" s="129"/>
      <c r="BZ99" s="129"/>
      <c r="CA99" s="129"/>
      <c r="CB99" s="129"/>
      <c r="CC99" s="129"/>
      <c r="CD99" s="129"/>
      <c r="CE99" s="129"/>
      <c r="CF99" s="129"/>
      <c r="CG99" s="129"/>
    </row>
    <row r="100" spans="1:85" ht="15.75" customHeight="1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30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/>
      <c r="AQ100" s="129"/>
      <c r="AR100" s="129"/>
      <c r="AS100" s="129"/>
      <c r="AT100" s="129"/>
      <c r="AU100" s="129"/>
      <c r="AV100" s="129"/>
      <c r="AW100" s="129"/>
      <c r="AX100" s="129"/>
      <c r="AY100" s="129"/>
      <c r="AZ100" s="129"/>
      <c r="BA100" s="129"/>
      <c r="BB100" s="129"/>
      <c r="BC100" s="129"/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29"/>
      <c r="BS100" s="129"/>
      <c r="BT100" s="129"/>
      <c r="BU100" s="129"/>
      <c r="BV100" s="129"/>
      <c r="BW100" s="129"/>
      <c r="BX100" s="129"/>
      <c r="BY100" s="129"/>
      <c r="BZ100" s="129"/>
      <c r="CA100" s="129"/>
      <c r="CB100" s="129"/>
      <c r="CC100" s="129"/>
      <c r="CD100" s="129"/>
      <c r="CE100" s="129"/>
      <c r="CF100" s="129"/>
      <c r="CG100" s="129"/>
    </row>
    <row r="101" spans="1:85" ht="15.75" customHeight="1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30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/>
      <c r="AQ101" s="129"/>
      <c r="AR101" s="129"/>
      <c r="AS101" s="129"/>
      <c r="AT101" s="129"/>
      <c r="AU101" s="129"/>
      <c r="AV101" s="129"/>
      <c r="AW101" s="129"/>
      <c r="AX101" s="129"/>
      <c r="AY101" s="129"/>
      <c r="AZ101" s="129"/>
      <c r="BA101" s="129"/>
      <c r="BB101" s="129"/>
      <c r="BC101" s="129"/>
      <c r="BD101" s="129"/>
      <c r="BE101" s="129"/>
      <c r="BF101" s="129"/>
      <c r="BG101" s="129"/>
      <c r="BH101" s="129"/>
      <c r="BI101" s="129"/>
      <c r="BJ101" s="129"/>
      <c r="BK101" s="129"/>
      <c r="BL101" s="129"/>
      <c r="BM101" s="129"/>
      <c r="BN101" s="129"/>
      <c r="BO101" s="129"/>
      <c r="BP101" s="129"/>
      <c r="BQ101" s="129"/>
      <c r="BR101" s="129"/>
      <c r="BS101" s="129"/>
      <c r="BT101" s="129"/>
      <c r="BU101" s="129"/>
      <c r="BV101" s="129"/>
      <c r="BW101" s="129"/>
      <c r="BX101" s="129"/>
      <c r="BY101" s="129"/>
      <c r="BZ101" s="129"/>
      <c r="CA101" s="129"/>
      <c r="CB101" s="129"/>
      <c r="CC101" s="129"/>
      <c r="CD101" s="129"/>
      <c r="CE101" s="129"/>
      <c r="CF101" s="129"/>
      <c r="CG101" s="129"/>
    </row>
    <row r="102" spans="1:85" ht="15.75" customHeight="1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30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/>
      <c r="AQ102" s="129"/>
      <c r="AR102" s="129"/>
      <c r="AS102" s="129"/>
      <c r="AT102" s="129"/>
      <c r="AU102" s="129"/>
      <c r="AV102" s="129"/>
      <c r="AW102" s="129"/>
      <c r="AX102" s="129"/>
      <c r="AY102" s="129"/>
      <c r="AZ102" s="129"/>
      <c r="BA102" s="129"/>
      <c r="BB102" s="129"/>
      <c r="BC102" s="129"/>
      <c r="BD102" s="129"/>
      <c r="BE102" s="129"/>
      <c r="BF102" s="129"/>
      <c r="BG102" s="129"/>
      <c r="BH102" s="129"/>
      <c r="BI102" s="129"/>
      <c r="BJ102" s="129"/>
      <c r="BK102" s="129"/>
      <c r="BL102" s="129"/>
      <c r="BM102" s="129"/>
      <c r="BN102" s="129"/>
      <c r="BO102" s="129"/>
      <c r="BP102" s="129"/>
      <c r="BQ102" s="129"/>
      <c r="BR102" s="129"/>
      <c r="BS102" s="129"/>
      <c r="BT102" s="129"/>
      <c r="BU102" s="129"/>
      <c r="BV102" s="129"/>
      <c r="BW102" s="129"/>
      <c r="BX102" s="129"/>
      <c r="BY102" s="129"/>
      <c r="BZ102" s="129"/>
      <c r="CA102" s="129"/>
      <c r="CB102" s="129"/>
      <c r="CC102" s="129"/>
      <c r="CD102" s="129"/>
      <c r="CE102" s="129"/>
      <c r="CF102" s="129"/>
      <c r="CG102" s="129"/>
    </row>
    <row r="103" spans="1:85" ht="15.75" customHeight="1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30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/>
      <c r="AQ103" s="129"/>
      <c r="AR103" s="129"/>
      <c r="AS103" s="129"/>
      <c r="AT103" s="129"/>
      <c r="AU103" s="129"/>
      <c r="AV103" s="129"/>
      <c r="AW103" s="129"/>
      <c r="AX103" s="129"/>
      <c r="AY103" s="129"/>
      <c r="AZ103" s="129"/>
      <c r="BA103" s="129"/>
      <c r="BB103" s="129"/>
      <c r="BC103" s="129"/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29"/>
      <c r="BS103" s="129"/>
      <c r="BT103" s="129"/>
      <c r="BU103" s="129"/>
      <c r="BV103" s="129"/>
      <c r="BW103" s="129"/>
      <c r="BX103" s="129"/>
      <c r="BY103" s="129"/>
      <c r="BZ103" s="129"/>
      <c r="CA103" s="129"/>
      <c r="CB103" s="129"/>
      <c r="CC103" s="129"/>
      <c r="CD103" s="129"/>
      <c r="CE103" s="129"/>
      <c r="CF103" s="129"/>
      <c r="CG103" s="129"/>
    </row>
    <row r="104" spans="1:85" ht="15.75" customHeight="1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30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  <c r="BA104" s="129"/>
      <c r="BB104" s="129"/>
      <c r="BC104" s="129"/>
      <c r="BD104" s="129"/>
      <c r="BE104" s="129"/>
      <c r="BF104" s="129"/>
      <c r="BG104" s="129"/>
      <c r="BH104" s="129"/>
      <c r="BI104" s="129"/>
      <c r="BJ104" s="129"/>
      <c r="BK104" s="129"/>
      <c r="BL104" s="129"/>
      <c r="BM104" s="129"/>
      <c r="BN104" s="129"/>
      <c r="BO104" s="129"/>
      <c r="BP104" s="129"/>
      <c r="BQ104" s="129"/>
      <c r="BR104" s="129"/>
      <c r="BS104" s="129"/>
      <c r="BT104" s="129"/>
      <c r="BU104" s="129"/>
      <c r="BV104" s="129"/>
      <c r="BW104" s="129"/>
      <c r="BX104" s="129"/>
      <c r="BY104" s="129"/>
      <c r="BZ104" s="129"/>
      <c r="CA104" s="129"/>
      <c r="CB104" s="129"/>
      <c r="CC104" s="129"/>
      <c r="CD104" s="129"/>
      <c r="CE104" s="129"/>
      <c r="CF104" s="129"/>
      <c r="CG104" s="129"/>
    </row>
    <row r="105" spans="1:85" ht="15.75" customHeight="1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30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  <c r="BP105" s="129"/>
      <c r="BQ105" s="129"/>
      <c r="BR105" s="129"/>
      <c r="BS105" s="129"/>
      <c r="BT105" s="129"/>
      <c r="BU105" s="129"/>
      <c r="BV105" s="129"/>
      <c r="BW105" s="129"/>
      <c r="BX105" s="129"/>
      <c r="BY105" s="129"/>
      <c r="BZ105" s="129"/>
      <c r="CA105" s="129"/>
      <c r="CB105" s="129"/>
      <c r="CC105" s="129"/>
      <c r="CD105" s="129"/>
      <c r="CE105" s="129"/>
      <c r="CF105" s="129"/>
      <c r="CG105" s="129"/>
    </row>
    <row r="106" spans="1:85" ht="15.75" customHeight="1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30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29"/>
      <c r="BD106" s="129"/>
      <c r="BE106" s="129"/>
      <c r="BF106" s="129"/>
      <c r="BG106" s="129"/>
      <c r="BH106" s="129"/>
      <c r="BI106" s="129"/>
      <c r="BJ106" s="129"/>
      <c r="BK106" s="129"/>
      <c r="BL106" s="129"/>
      <c r="BM106" s="129"/>
      <c r="BN106" s="129"/>
      <c r="BO106" s="129"/>
      <c r="BP106" s="129"/>
      <c r="BQ106" s="129"/>
      <c r="BR106" s="129"/>
      <c r="BS106" s="129"/>
      <c r="BT106" s="129"/>
      <c r="BU106" s="129"/>
      <c r="BV106" s="129"/>
      <c r="BW106" s="129"/>
      <c r="BX106" s="129"/>
      <c r="BY106" s="129"/>
      <c r="BZ106" s="129"/>
      <c r="CA106" s="129"/>
      <c r="CB106" s="129"/>
      <c r="CC106" s="129"/>
      <c r="CD106" s="129"/>
      <c r="CE106" s="129"/>
      <c r="CF106" s="129"/>
      <c r="CG106" s="129"/>
    </row>
    <row r="107" spans="1:85" ht="15.75" customHeight="1">
      <c r="A107" s="129"/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30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/>
      <c r="AQ107" s="129"/>
      <c r="AR107" s="129"/>
      <c r="AS107" s="129"/>
      <c r="AT107" s="129"/>
      <c r="AU107" s="129"/>
      <c r="AV107" s="129"/>
      <c r="AW107" s="129"/>
      <c r="AX107" s="129"/>
      <c r="AY107" s="129"/>
      <c r="AZ107" s="129"/>
      <c r="BA107" s="129"/>
      <c r="BB107" s="129"/>
      <c r="BC107" s="129"/>
      <c r="BD107" s="129"/>
      <c r="BE107" s="129"/>
      <c r="BF107" s="129"/>
      <c r="BG107" s="129"/>
      <c r="BH107" s="129"/>
      <c r="BI107" s="129"/>
      <c r="BJ107" s="129"/>
      <c r="BK107" s="129"/>
      <c r="BL107" s="129"/>
      <c r="BM107" s="129"/>
      <c r="BN107" s="129"/>
      <c r="BO107" s="129"/>
      <c r="BP107" s="129"/>
      <c r="BQ107" s="129"/>
      <c r="BR107" s="129"/>
      <c r="BS107" s="129"/>
      <c r="BT107" s="129"/>
      <c r="BU107" s="129"/>
      <c r="BV107" s="129"/>
      <c r="BW107" s="129"/>
      <c r="BX107" s="129"/>
      <c r="BY107" s="129"/>
      <c r="BZ107" s="129"/>
      <c r="CA107" s="129"/>
      <c r="CB107" s="129"/>
      <c r="CC107" s="129"/>
      <c r="CD107" s="129"/>
      <c r="CE107" s="129"/>
      <c r="CF107" s="129"/>
      <c r="CG107" s="129"/>
    </row>
    <row r="108" spans="1:85" ht="15.75" customHeight="1">
      <c r="A108" s="129"/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30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/>
      <c r="AQ108" s="129"/>
      <c r="AR108" s="129"/>
      <c r="AS108" s="129"/>
      <c r="AT108" s="129"/>
      <c r="AU108" s="129"/>
      <c r="AV108" s="129"/>
      <c r="AW108" s="129"/>
      <c r="AX108" s="129"/>
      <c r="AY108" s="129"/>
      <c r="AZ108" s="129"/>
      <c r="BA108" s="129"/>
      <c r="BB108" s="129"/>
      <c r="BC108" s="129"/>
      <c r="BD108" s="129"/>
      <c r="BE108" s="129"/>
      <c r="BF108" s="129"/>
      <c r="BG108" s="129"/>
      <c r="BH108" s="129"/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29"/>
      <c r="BU108" s="129"/>
      <c r="BV108" s="129"/>
      <c r="BW108" s="129"/>
      <c r="BX108" s="129"/>
      <c r="BY108" s="129"/>
      <c r="BZ108" s="129"/>
      <c r="CA108" s="129"/>
      <c r="CB108" s="129"/>
      <c r="CC108" s="129"/>
      <c r="CD108" s="129"/>
      <c r="CE108" s="129"/>
      <c r="CF108" s="129"/>
      <c r="CG108" s="129"/>
    </row>
    <row r="109" spans="1:85" ht="15.75" customHeight="1">
      <c r="A109" s="129"/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30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/>
      <c r="AQ109" s="129"/>
      <c r="AR109" s="129"/>
      <c r="AS109" s="129"/>
      <c r="AT109" s="129"/>
      <c r="AU109" s="129"/>
      <c r="AV109" s="129"/>
      <c r="AW109" s="129"/>
      <c r="AX109" s="129"/>
      <c r="AY109" s="129"/>
      <c r="AZ109" s="129"/>
      <c r="BA109" s="129"/>
      <c r="BB109" s="129"/>
      <c r="BC109" s="129"/>
      <c r="BD109" s="129"/>
      <c r="BE109" s="129"/>
      <c r="BF109" s="129"/>
      <c r="BG109" s="129"/>
      <c r="BH109" s="129"/>
      <c r="BI109" s="129"/>
      <c r="BJ109" s="129"/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29"/>
      <c r="BU109" s="129"/>
      <c r="BV109" s="129"/>
      <c r="BW109" s="129"/>
      <c r="BX109" s="129"/>
      <c r="BY109" s="129"/>
      <c r="BZ109" s="129"/>
      <c r="CA109" s="129"/>
      <c r="CB109" s="129"/>
      <c r="CC109" s="129"/>
      <c r="CD109" s="129"/>
      <c r="CE109" s="129"/>
      <c r="CF109" s="129"/>
      <c r="CG109" s="129"/>
    </row>
    <row r="110" spans="1:85" ht="15.75" customHeight="1">
      <c r="A110" s="129"/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30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/>
      <c r="AQ110" s="129"/>
      <c r="AR110" s="129"/>
      <c r="AS110" s="129"/>
      <c r="AT110" s="129"/>
      <c r="AU110" s="129"/>
      <c r="AV110" s="129"/>
      <c r="AW110" s="129"/>
      <c r="AX110" s="129"/>
      <c r="AY110" s="129"/>
      <c r="AZ110" s="129"/>
      <c r="BA110" s="129"/>
      <c r="BB110" s="129"/>
      <c r="BC110" s="129"/>
      <c r="BD110" s="129"/>
      <c r="BE110" s="129"/>
      <c r="BF110" s="129"/>
      <c r="BG110" s="129"/>
      <c r="BH110" s="129"/>
      <c r="BI110" s="129"/>
      <c r="BJ110" s="129"/>
      <c r="BK110" s="129"/>
      <c r="BL110" s="129"/>
      <c r="BM110" s="129"/>
      <c r="BN110" s="129"/>
      <c r="BO110" s="129"/>
      <c r="BP110" s="129"/>
      <c r="BQ110" s="129"/>
      <c r="BR110" s="129"/>
      <c r="BS110" s="129"/>
      <c r="BT110" s="129"/>
      <c r="BU110" s="129"/>
      <c r="BV110" s="129"/>
      <c r="BW110" s="129"/>
      <c r="BX110" s="129"/>
      <c r="BY110" s="129"/>
      <c r="BZ110" s="129"/>
      <c r="CA110" s="129"/>
      <c r="CB110" s="129"/>
      <c r="CC110" s="129"/>
      <c r="CD110" s="129"/>
      <c r="CE110" s="129"/>
      <c r="CF110" s="129"/>
      <c r="CG110" s="129"/>
    </row>
    <row r="111" spans="1:85" ht="15.75" customHeight="1">
      <c r="A111" s="129"/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30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/>
      <c r="AQ111" s="129"/>
      <c r="AR111" s="129"/>
      <c r="AS111" s="129"/>
      <c r="AT111" s="129"/>
      <c r="AU111" s="129"/>
      <c r="AV111" s="129"/>
      <c r="AW111" s="129"/>
      <c r="AX111" s="129"/>
      <c r="AY111" s="129"/>
      <c r="AZ111" s="129"/>
      <c r="BA111" s="129"/>
      <c r="BB111" s="129"/>
      <c r="BC111" s="129"/>
      <c r="BD111" s="129"/>
      <c r="BE111" s="129"/>
      <c r="BF111" s="129"/>
      <c r="BG111" s="129"/>
      <c r="BH111" s="129"/>
      <c r="BI111" s="129"/>
      <c r="BJ111" s="129"/>
      <c r="BK111" s="129"/>
      <c r="BL111" s="129"/>
      <c r="BM111" s="129"/>
      <c r="BN111" s="129"/>
      <c r="BO111" s="129"/>
      <c r="BP111" s="129"/>
      <c r="BQ111" s="129"/>
      <c r="BR111" s="129"/>
      <c r="BS111" s="129"/>
      <c r="BT111" s="129"/>
      <c r="BU111" s="129"/>
      <c r="BV111" s="129"/>
      <c r="BW111" s="129"/>
      <c r="BX111" s="129"/>
      <c r="BY111" s="129"/>
      <c r="BZ111" s="129"/>
      <c r="CA111" s="129"/>
      <c r="CB111" s="129"/>
      <c r="CC111" s="129"/>
      <c r="CD111" s="129"/>
      <c r="CE111" s="129"/>
      <c r="CF111" s="129"/>
      <c r="CG111" s="129"/>
    </row>
    <row r="112" spans="1:85" ht="15.75" customHeight="1">
      <c r="A112" s="129"/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30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/>
      <c r="AQ112" s="129"/>
      <c r="AR112" s="129"/>
      <c r="AS112" s="129"/>
      <c r="AT112" s="129"/>
      <c r="AU112" s="129"/>
      <c r="AV112" s="129"/>
      <c r="AW112" s="129"/>
      <c r="AX112" s="129"/>
      <c r="AY112" s="129"/>
      <c r="AZ112" s="129"/>
      <c r="BA112" s="129"/>
      <c r="BB112" s="129"/>
      <c r="BC112" s="129"/>
      <c r="BD112" s="129"/>
      <c r="BE112" s="129"/>
      <c r="BF112" s="129"/>
      <c r="BG112" s="129"/>
      <c r="BH112" s="129"/>
      <c r="BI112" s="129"/>
      <c r="BJ112" s="129"/>
      <c r="BK112" s="129"/>
      <c r="BL112" s="129"/>
      <c r="BM112" s="129"/>
      <c r="BN112" s="129"/>
      <c r="BO112" s="129"/>
      <c r="BP112" s="129"/>
      <c r="BQ112" s="129"/>
      <c r="BR112" s="129"/>
      <c r="BS112" s="129"/>
      <c r="BT112" s="129"/>
      <c r="BU112" s="129"/>
      <c r="BV112" s="129"/>
      <c r="BW112" s="129"/>
      <c r="BX112" s="129"/>
      <c r="BY112" s="129"/>
      <c r="BZ112" s="129"/>
      <c r="CA112" s="129"/>
      <c r="CB112" s="129"/>
      <c r="CC112" s="129"/>
      <c r="CD112" s="129"/>
      <c r="CE112" s="129"/>
      <c r="CF112" s="129"/>
      <c r="CG112" s="129"/>
    </row>
    <row r="113" spans="1:85" ht="15.75" customHeight="1">
      <c r="A113" s="129"/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30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/>
      <c r="AQ113" s="129"/>
      <c r="AR113" s="129"/>
      <c r="AS113" s="129"/>
      <c r="AT113" s="129"/>
      <c r="AU113" s="129"/>
      <c r="AV113" s="129"/>
      <c r="AW113" s="129"/>
      <c r="AX113" s="129"/>
      <c r="AY113" s="129"/>
      <c r="AZ113" s="129"/>
      <c r="BA113" s="129"/>
      <c r="BB113" s="129"/>
      <c r="BC113" s="129"/>
      <c r="BD113" s="129"/>
      <c r="BE113" s="129"/>
      <c r="BF113" s="129"/>
      <c r="BG113" s="129"/>
      <c r="BH113" s="129"/>
      <c r="BI113" s="129"/>
      <c r="BJ113" s="129"/>
      <c r="BK113" s="129"/>
      <c r="BL113" s="129"/>
      <c r="BM113" s="129"/>
      <c r="BN113" s="129"/>
      <c r="BO113" s="129"/>
      <c r="BP113" s="129"/>
      <c r="BQ113" s="129"/>
      <c r="BR113" s="129"/>
      <c r="BS113" s="129"/>
      <c r="BT113" s="129"/>
      <c r="BU113" s="129"/>
      <c r="BV113" s="129"/>
      <c r="BW113" s="129"/>
      <c r="BX113" s="129"/>
      <c r="BY113" s="129"/>
      <c r="BZ113" s="129"/>
      <c r="CA113" s="129"/>
      <c r="CB113" s="129"/>
      <c r="CC113" s="129"/>
      <c r="CD113" s="129"/>
      <c r="CE113" s="129"/>
      <c r="CF113" s="129"/>
      <c r="CG113" s="129"/>
    </row>
    <row r="114" spans="1:85" ht="15.75" customHeight="1">
      <c r="A114" s="129"/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30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/>
      <c r="AQ114" s="129"/>
      <c r="AR114" s="129"/>
      <c r="AS114" s="129"/>
      <c r="AT114" s="129"/>
      <c r="AU114" s="129"/>
      <c r="AV114" s="129"/>
      <c r="AW114" s="129"/>
      <c r="AX114" s="129"/>
      <c r="AY114" s="129"/>
      <c r="AZ114" s="129"/>
      <c r="BA114" s="129"/>
      <c r="BB114" s="129"/>
      <c r="BC114" s="129"/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29"/>
      <c r="BS114" s="129"/>
      <c r="BT114" s="129"/>
      <c r="BU114" s="129"/>
      <c r="BV114" s="129"/>
      <c r="BW114" s="129"/>
      <c r="BX114" s="129"/>
      <c r="BY114" s="129"/>
      <c r="BZ114" s="129"/>
      <c r="CA114" s="129"/>
      <c r="CB114" s="129"/>
      <c r="CC114" s="129"/>
      <c r="CD114" s="129"/>
      <c r="CE114" s="129"/>
      <c r="CF114" s="129"/>
      <c r="CG114" s="129"/>
    </row>
    <row r="115" spans="1:85" ht="15.75" customHeight="1">
      <c r="A115" s="129"/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30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/>
      <c r="AQ115" s="129"/>
      <c r="AR115" s="129"/>
      <c r="AS115" s="129"/>
      <c r="AT115" s="129"/>
      <c r="AU115" s="129"/>
      <c r="AV115" s="129"/>
      <c r="AW115" s="129"/>
      <c r="AX115" s="129"/>
      <c r="AY115" s="129"/>
      <c r="AZ115" s="129"/>
      <c r="BA115" s="129"/>
      <c r="BB115" s="129"/>
      <c r="BC115" s="129"/>
      <c r="BD115" s="129"/>
      <c r="BE115" s="129"/>
      <c r="BF115" s="129"/>
      <c r="BG115" s="129"/>
      <c r="BH115" s="129"/>
      <c r="BI115" s="129"/>
      <c r="BJ115" s="129"/>
      <c r="BK115" s="129"/>
      <c r="BL115" s="129"/>
      <c r="BM115" s="129"/>
      <c r="BN115" s="129"/>
      <c r="BO115" s="129"/>
      <c r="BP115" s="129"/>
      <c r="BQ115" s="129"/>
      <c r="BR115" s="129"/>
      <c r="BS115" s="129"/>
      <c r="BT115" s="129"/>
      <c r="BU115" s="129"/>
      <c r="BV115" s="129"/>
      <c r="BW115" s="129"/>
      <c r="BX115" s="129"/>
      <c r="BY115" s="129"/>
      <c r="BZ115" s="129"/>
      <c r="CA115" s="129"/>
      <c r="CB115" s="129"/>
      <c r="CC115" s="129"/>
      <c r="CD115" s="129"/>
      <c r="CE115" s="129"/>
      <c r="CF115" s="129"/>
      <c r="CG115" s="129"/>
    </row>
    <row r="116" spans="1:85" ht="15.75" customHeight="1">
      <c r="A116" s="129"/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30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/>
      <c r="AQ116" s="129"/>
      <c r="AR116" s="129"/>
      <c r="AS116" s="129"/>
      <c r="AT116" s="129"/>
      <c r="AU116" s="129"/>
      <c r="AV116" s="129"/>
      <c r="AW116" s="129"/>
      <c r="AX116" s="129"/>
      <c r="AY116" s="129"/>
      <c r="AZ116" s="129"/>
      <c r="BA116" s="129"/>
      <c r="BB116" s="129"/>
      <c r="BC116" s="129"/>
      <c r="BD116" s="129"/>
      <c r="BE116" s="129"/>
      <c r="BF116" s="129"/>
      <c r="BG116" s="129"/>
      <c r="BH116" s="129"/>
      <c r="BI116" s="129"/>
      <c r="BJ116" s="129"/>
      <c r="BK116" s="129"/>
      <c r="BL116" s="129"/>
      <c r="BM116" s="129"/>
      <c r="BN116" s="129"/>
      <c r="BO116" s="129"/>
      <c r="BP116" s="129"/>
      <c r="BQ116" s="129"/>
      <c r="BR116" s="129"/>
      <c r="BS116" s="129"/>
      <c r="BT116" s="129"/>
      <c r="BU116" s="129"/>
      <c r="BV116" s="129"/>
      <c r="BW116" s="129"/>
      <c r="BX116" s="129"/>
      <c r="BY116" s="129"/>
      <c r="BZ116" s="129"/>
      <c r="CA116" s="129"/>
      <c r="CB116" s="129"/>
      <c r="CC116" s="129"/>
      <c r="CD116" s="129"/>
      <c r="CE116" s="129"/>
      <c r="CF116" s="129"/>
      <c r="CG116" s="129"/>
    </row>
    <row r="117" spans="1:85" ht="15.75" customHeight="1">
      <c r="A117" s="129"/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30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/>
      <c r="AQ117" s="129"/>
      <c r="AR117" s="129"/>
      <c r="AS117" s="129"/>
      <c r="AT117" s="129"/>
      <c r="AU117" s="129"/>
      <c r="AV117" s="129"/>
      <c r="AW117" s="129"/>
      <c r="AX117" s="129"/>
      <c r="AY117" s="129"/>
      <c r="AZ117" s="129"/>
      <c r="BA117" s="129"/>
      <c r="BB117" s="129"/>
      <c r="BC117" s="129"/>
      <c r="BD117" s="129"/>
      <c r="BE117" s="129"/>
      <c r="BF117" s="129"/>
      <c r="BG117" s="129"/>
      <c r="BH117" s="129"/>
      <c r="BI117" s="129"/>
      <c r="BJ117" s="129"/>
      <c r="BK117" s="129"/>
      <c r="BL117" s="129"/>
      <c r="BM117" s="129"/>
      <c r="BN117" s="129"/>
      <c r="BO117" s="129"/>
      <c r="BP117" s="129"/>
      <c r="BQ117" s="129"/>
      <c r="BR117" s="129"/>
      <c r="BS117" s="129"/>
      <c r="BT117" s="129"/>
      <c r="BU117" s="129"/>
      <c r="BV117" s="129"/>
      <c r="BW117" s="129"/>
      <c r="BX117" s="129"/>
      <c r="BY117" s="129"/>
      <c r="BZ117" s="129"/>
      <c r="CA117" s="129"/>
      <c r="CB117" s="129"/>
      <c r="CC117" s="129"/>
      <c r="CD117" s="129"/>
      <c r="CE117" s="129"/>
      <c r="CF117" s="129"/>
      <c r="CG117" s="129"/>
    </row>
    <row r="118" spans="1:85" ht="15.75" customHeight="1">
      <c r="A118" s="129"/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30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/>
      <c r="AQ118" s="129"/>
      <c r="AR118" s="129"/>
      <c r="AS118" s="129"/>
      <c r="AT118" s="129"/>
      <c r="AU118" s="129"/>
      <c r="AV118" s="129"/>
      <c r="AW118" s="129"/>
      <c r="AX118" s="129"/>
      <c r="AY118" s="129"/>
      <c r="AZ118" s="129"/>
      <c r="BA118" s="129"/>
      <c r="BB118" s="129"/>
      <c r="BC118" s="129"/>
      <c r="BD118" s="129"/>
      <c r="BE118" s="129"/>
      <c r="BF118" s="129"/>
      <c r="BG118" s="129"/>
      <c r="BH118" s="129"/>
      <c r="BI118" s="129"/>
      <c r="BJ118" s="129"/>
      <c r="BK118" s="129"/>
      <c r="BL118" s="129"/>
      <c r="BM118" s="129"/>
      <c r="BN118" s="129"/>
      <c r="BO118" s="129"/>
      <c r="BP118" s="129"/>
      <c r="BQ118" s="129"/>
      <c r="BR118" s="129"/>
      <c r="BS118" s="129"/>
      <c r="BT118" s="129"/>
      <c r="BU118" s="129"/>
      <c r="BV118" s="129"/>
      <c r="BW118" s="129"/>
      <c r="BX118" s="129"/>
      <c r="BY118" s="129"/>
      <c r="BZ118" s="129"/>
      <c r="CA118" s="129"/>
      <c r="CB118" s="129"/>
      <c r="CC118" s="129"/>
      <c r="CD118" s="129"/>
      <c r="CE118" s="129"/>
      <c r="CF118" s="129"/>
      <c r="CG118" s="129"/>
    </row>
    <row r="119" spans="1:85" ht="15.75" customHeight="1">
      <c r="A119" s="129"/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30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/>
      <c r="AQ119" s="129"/>
      <c r="AR119" s="129"/>
      <c r="AS119" s="129"/>
      <c r="AT119" s="129"/>
      <c r="AU119" s="129"/>
      <c r="AV119" s="129"/>
      <c r="AW119" s="129"/>
      <c r="AX119" s="129"/>
      <c r="AY119" s="129"/>
      <c r="AZ119" s="129"/>
      <c r="BA119" s="129"/>
      <c r="BB119" s="129"/>
      <c r="BC119" s="129"/>
      <c r="BD119" s="129"/>
      <c r="BE119" s="129"/>
      <c r="BF119" s="129"/>
      <c r="BG119" s="129"/>
      <c r="BH119" s="129"/>
      <c r="BI119" s="129"/>
      <c r="BJ119" s="129"/>
      <c r="BK119" s="129"/>
      <c r="BL119" s="129"/>
      <c r="BM119" s="129"/>
      <c r="BN119" s="129"/>
      <c r="BO119" s="129"/>
      <c r="BP119" s="129"/>
      <c r="BQ119" s="129"/>
      <c r="BR119" s="129"/>
      <c r="BS119" s="129"/>
      <c r="BT119" s="129"/>
      <c r="BU119" s="129"/>
      <c r="BV119" s="129"/>
      <c r="BW119" s="129"/>
      <c r="BX119" s="129"/>
      <c r="BY119" s="129"/>
      <c r="BZ119" s="129"/>
      <c r="CA119" s="129"/>
      <c r="CB119" s="129"/>
      <c r="CC119" s="129"/>
      <c r="CD119" s="129"/>
      <c r="CE119" s="129"/>
      <c r="CF119" s="129"/>
      <c r="CG119" s="129"/>
    </row>
    <row r="120" spans="1:85" ht="15.75" customHeight="1">
      <c r="A120" s="129"/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30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/>
      <c r="AQ120" s="129"/>
      <c r="AR120" s="129"/>
      <c r="AS120" s="129"/>
      <c r="AT120" s="129"/>
      <c r="AU120" s="129"/>
      <c r="AV120" s="129"/>
      <c r="AW120" s="129"/>
      <c r="AX120" s="129"/>
      <c r="AY120" s="129"/>
      <c r="AZ120" s="129"/>
      <c r="BA120" s="129"/>
      <c r="BB120" s="129"/>
      <c r="BC120" s="129"/>
      <c r="BD120" s="129"/>
      <c r="BE120" s="129"/>
      <c r="BF120" s="129"/>
      <c r="BG120" s="129"/>
      <c r="BH120" s="129"/>
      <c r="BI120" s="129"/>
      <c r="BJ120" s="129"/>
      <c r="BK120" s="129"/>
      <c r="BL120" s="129"/>
      <c r="BM120" s="129"/>
      <c r="BN120" s="129"/>
      <c r="BO120" s="129"/>
      <c r="BP120" s="129"/>
      <c r="BQ120" s="129"/>
      <c r="BR120" s="129"/>
      <c r="BS120" s="129"/>
      <c r="BT120" s="129"/>
      <c r="BU120" s="129"/>
      <c r="BV120" s="129"/>
      <c r="BW120" s="129"/>
      <c r="BX120" s="129"/>
      <c r="BY120" s="129"/>
      <c r="BZ120" s="129"/>
      <c r="CA120" s="129"/>
      <c r="CB120" s="129"/>
      <c r="CC120" s="129"/>
      <c r="CD120" s="129"/>
      <c r="CE120" s="129"/>
      <c r="CF120" s="129"/>
      <c r="CG120" s="129"/>
    </row>
    <row r="121" spans="1:85" ht="15.75" customHeight="1">
      <c r="A121" s="129"/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30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/>
      <c r="AQ121" s="129"/>
      <c r="AR121" s="129"/>
      <c r="AS121" s="129"/>
      <c r="AT121" s="129"/>
      <c r="AU121" s="129"/>
      <c r="AV121" s="129"/>
      <c r="AW121" s="129"/>
      <c r="AX121" s="129"/>
      <c r="AY121" s="129"/>
      <c r="AZ121" s="129"/>
      <c r="BA121" s="129"/>
      <c r="BB121" s="129"/>
      <c r="BC121" s="129"/>
      <c r="BD121" s="129"/>
      <c r="BE121" s="129"/>
      <c r="BF121" s="129"/>
      <c r="BG121" s="129"/>
      <c r="BH121" s="129"/>
      <c r="BI121" s="129"/>
      <c r="BJ121" s="129"/>
      <c r="BK121" s="129"/>
      <c r="BL121" s="129"/>
      <c r="BM121" s="129"/>
      <c r="BN121" s="129"/>
      <c r="BO121" s="129"/>
      <c r="BP121" s="129"/>
      <c r="BQ121" s="129"/>
      <c r="BR121" s="129"/>
      <c r="BS121" s="129"/>
      <c r="BT121" s="129"/>
      <c r="BU121" s="129"/>
      <c r="BV121" s="129"/>
      <c r="BW121" s="129"/>
      <c r="BX121" s="129"/>
      <c r="BY121" s="129"/>
      <c r="BZ121" s="129"/>
      <c r="CA121" s="129"/>
      <c r="CB121" s="129"/>
      <c r="CC121" s="129"/>
      <c r="CD121" s="129"/>
      <c r="CE121" s="129"/>
      <c r="CF121" s="129"/>
      <c r="CG121" s="129"/>
    </row>
    <row r="122" spans="1:85" ht="15.75" customHeight="1">
      <c r="A122" s="129"/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30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/>
      <c r="AQ122" s="129"/>
      <c r="AR122" s="129"/>
      <c r="AS122" s="129"/>
      <c r="AT122" s="129"/>
      <c r="AU122" s="129"/>
      <c r="AV122" s="129"/>
      <c r="AW122" s="129"/>
      <c r="AX122" s="129"/>
      <c r="AY122" s="129"/>
      <c r="AZ122" s="129"/>
      <c r="BA122" s="129"/>
      <c r="BB122" s="129"/>
      <c r="BC122" s="129"/>
      <c r="BD122" s="129"/>
      <c r="BE122" s="129"/>
      <c r="BF122" s="129"/>
      <c r="BG122" s="129"/>
      <c r="BH122" s="129"/>
      <c r="BI122" s="129"/>
      <c r="BJ122" s="129"/>
      <c r="BK122" s="129"/>
      <c r="BL122" s="129"/>
      <c r="BM122" s="129"/>
      <c r="BN122" s="129"/>
      <c r="BO122" s="129"/>
      <c r="BP122" s="129"/>
      <c r="BQ122" s="129"/>
      <c r="BR122" s="129"/>
      <c r="BS122" s="129"/>
      <c r="BT122" s="129"/>
      <c r="BU122" s="129"/>
      <c r="BV122" s="129"/>
      <c r="BW122" s="129"/>
      <c r="BX122" s="129"/>
      <c r="BY122" s="129"/>
      <c r="BZ122" s="129"/>
      <c r="CA122" s="129"/>
      <c r="CB122" s="129"/>
      <c r="CC122" s="129"/>
      <c r="CD122" s="129"/>
      <c r="CE122" s="129"/>
      <c r="CF122" s="129"/>
      <c r="CG122" s="129"/>
    </row>
    <row r="123" spans="1:85" ht="15.75" customHeight="1">
      <c r="A123" s="129"/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30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/>
      <c r="AQ123" s="129"/>
      <c r="AR123" s="129"/>
      <c r="AS123" s="129"/>
      <c r="AT123" s="129"/>
      <c r="AU123" s="129"/>
      <c r="AV123" s="129"/>
      <c r="AW123" s="129"/>
      <c r="AX123" s="129"/>
      <c r="AY123" s="129"/>
      <c r="AZ123" s="129"/>
      <c r="BA123" s="129"/>
      <c r="BB123" s="129"/>
      <c r="BC123" s="129"/>
      <c r="BD123" s="129"/>
      <c r="BE123" s="129"/>
      <c r="BF123" s="129"/>
      <c r="BG123" s="129"/>
      <c r="BH123" s="129"/>
      <c r="BI123" s="129"/>
      <c r="BJ123" s="129"/>
      <c r="BK123" s="129"/>
      <c r="BL123" s="129"/>
      <c r="BM123" s="129"/>
      <c r="BN123" s="129"/>
      <c r="BO123" s="129"/>
      <c r="BP123" s="129"/>
      <c r="BQ123" s="129"/>
      <c r="BR123" s="129"/>
      <c r="BS123" s="129"/>
      <c r="BT123" s="129"/>
      <c r="BU123" s="129"/>
      <c r="BV123" s="129"/>
      <c r="BW123" s="129"/>
      <c r="BX123" s="129"/>
      <c r="BY123" s="129"/>
      <c r="BZ123" s="129"/>
      <c r="CA123" s="129"/>
      <c r="CB123" s="129"/>
      <c r="CC123" s="129"/>
      <c r="CD123" s="129"/>
      <c r="CE123" s="129"/>
      <c r="CF123" s="129"/>
      <c r="CG123" s="129"/>
    </row>
    <row r="124" spans="1:85" ht="15.75" customHeight="1">
      <c r="A124" s="129"/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30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129"/>
      <c r="AZ124" s="129"/>
      <c r="BA124" s="129"/>
      <c r="BB124" s="129"/>
      <c r="BC124" s="129"/>
      <c r="BD124" s="129"/>
      <c r="BE124" s="129"/>
      <c r="BF124" s="129"/>
      <c r="BG124" s="129"/>
      <c r="BH124" s="129"/>
      <c r="BI124" s="129"/>
      <c r="BJ124" s="129"/>
      <c r="BK124" s="129"/>
      <c r="BL124" s="129"/>
      <c r="BM124" s="129"/>
      <c r="BN124" s="129"/>
      <c r="BO124" s="129"/>
      <c r="BP124" s="129"/>
      <c r="BQ124" s="129"/>
      <c r="BR124" s="129"/>
      <c r="BS124" s="129"/>
      <c r="BT124" s="129"/>
      <c r="BU124" s="129"/>
      <c r="BV124" s="129"/>
      <c r="BW124" s="129"/>
      <c r="BX124" s="129"/>
      <c r="BY124" s="129"/>
      <c r="BZ124" s="129"/>
      <c r="CA124" s="129"/>
      <c r="CB124" s="129"/>
      <c r="CC124" s="129"/>
      <c r="CD124" s="129"/>
      <c r="CE124" s="129"/>
      <c r="CF124" s="129"/>
      <c r="CG124" s="129"/>
    </row>
    <row r="125" spans="1:85" ht="15.75" customHeight="1">
      <c r="A125" s="129"/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30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129"/>
      <c r="AZ125" s="129"/>
      <c r="BA125" s="129"/>
      <c r="BB125" s="129"/>
      <c r="BC125" s="129"/>
      <c r="BD125" s="129"/>
      <c r="BE125" s="129"/>
      <c r="BF125" s="129"/>
      <c r="BG125" s="129"/>
      <c r="BH125" s="129"/>
      <c r="BI125" s="129"/>
      <c r="BJ125" s="129"/>
      <c r="BK125" s="129"/>
      <c r="BL125" s="129"/>
      <c r="BM125" s="129"/>
      <c r="BN125" s="129"/>
      <c r="BO125" s="129"/>
      <c r="BP125" s="129"/>
      <c r="BQ125" s="129"/>
      <c r="BR125" s="129"/>
      <c r="BS125" s="129"/>
      <c r="BT125" s="129"/>
      <c r="BU125" s="129"/>
      <c r="BV125" s="129"/>
      <c r="BW125" s="129"/>
      <c r="BX125" s="129"/>
      <c r="BY125" s="129"/>
      <c r="BZ125" s="129"/>
      <c r="CA125" s="129"/>
      <c r="CB125" s="129"/>
      <c r="CC125" s="129"/>
      <c r="CD125" s="129"/>
      <c r="CE125" s="129"/>
      <c r="CF125" s="129"/>
      <c r="CG125" s="129"/>
    </row>
    <row r="126" spans="1:85" ht="15.75" customHeight="1">
      <c r="A126" s="129"/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30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129"/>
      <c r="AZ126" s="129"/>
      <c r="BA126" s="129"/>
      <c r="BB126" s="129"/>
      <c r="BC126" s="129"/>
      <c r="BD126" s="129"/>
      <c r="BE126" s="129"/>
      <c r="BF126" s="129"/>
      <c r="BG126" s="129"/>
      <c r="BH126" s="129"/>
      <c r="BI126" s="129"/>
      <c r="BJ126" s="129"/>
      <c r="BK126" s="129"/>
      <c r="BL126" s="129"/>
      <c r="BM126" s="129"/>
      <c r="BN126" s="129"/>
      <c r="BO126" s="129"/>
      <c r="BP126" s="129"/>
      <c r="BQ126" s="129"/>
      <c r="BR126" s="129"/>
      <c r="BS126" s="129"/>
      <c r="BT126" s="129"/>
      <c r="BU126" s="129"/>
      <c r="BV126" s="129"/>
      <c r="BW126" s="129"/>
      <c r="BX126" s="129"/>
      <c r="BY126" s="129"/>
      <c r="BZ126" s="129"/>
      <c r="CA126" s="129"/>
      <c r="CB126" s="129"/>
      <c r="CC126" s="129"/>
      <c r="CD126" s="129"/>
      <c r="CE126" s="129"/>
      <c r="CF126" s="129"/>
      <c r="CG126" s="129"/>
    </row>
    <row r="127" spans="1:85" ht="15.75" customHeight="1">
      <c r="A127" s="129"/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30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  <c r="AN127" s="129"/>
      <c r="AO127" s="129"/>
      <c r="AP127" s="129"/>
      <c r="AQ127" s="129"/>
      <c r="AR127" s="129"/>
      <c r="AS127" s="129"/>
      <c r="AT127" s="129"/>
      <c r="AU127" s="129"/>
      <c r="AV127" s="129"/>
      <c r="AW127" s="129"/>
      <c r="AX127" s="129"/>
      <c r="AY127" s="129"/>
      <c r="AZ127" s="129"/>
      <c r="BA127" s="129"/>
      <c r="BB127" s="129"/>
      <c r="BC127" s="129"/>
      <c r="BD127" s="129"/>
      <c r="BE127" s="129"/>
      <c r="BF127" s="129"/>
      <c r="BG127" s="129"/>
      <c r="BH127" s="129"/>
      <c r="BI127" s="129"/>
      <c r="BJ127" s="129"/>
      <c r="BK127" s="129"/>
      <c r="BL127" s="129"/>
      <c r="BM127" s="129"/>
      <c r="BN127" s="129"/>
      <c r="BO127" s="129"/>
      <c r="BP127" s="129"/>
      <c r="BQ127" s="129"/>
      <c r="BR127" s="129"/>
      <c r="BS127" s="129"/>
      <c r="BT127" s="129"/>
      <c r="BU127" s="129"/>
      <c r="BV127" s="129"/>
      <c r="BW127" s="129"/>
      <c r="BX127" s="129"/>
      <c r="BY127" s="129"/>
      <c r="BZ127" s="129"/>
      <c r="CA127" s="129"/>
      <c r="CB127" s="129"/>
      <c r="CC127" s="129"/>
      <c r="CD127" s="129"/>
      <c r="CE127" s="129"/>
      <c r="CF127" s="129"/>
      <c r="CG127" s="129"/>
    </row>
    <row r="128" spans="1:85" ht="15.75" customHeight="1">
      <c r="A128" s="129"/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30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129"/>
      <c r="BE128" s="129"/>
      <c r="BF128" s="129"/>
      <c r="BG128" s="129"/>
      <c r="BH128" s="129"/>
      <c r="BI128" s="129"/>
      <c r="BJ128" s="129"/>
      <c r="BK128" s="129"/>
      <c r="BL128" s="129"/>
      <c r="BM128" s="129"/>
      <c r="BN128" s="129"/>
      <c r="BO128" s="129"/>
      <c r="BP128" s="129"/>
      <c r="BQ128" s="129"/>
      <c r="BR128" s="129"/>
      <c r="BS128" s="129"/>
      <c r="BT128" s="129"/>
      <c r="BU128" s="129"/>
      <c r="BV128" s="129"/>
      <c r="BW128" s="129"/>
      <c r="BX128" s="129"/>
      <c r="BY128" s="129"/>
      <c r="BZ128" s="129"/>
      <c r="CA128" s="129"/>
      <c r="CB128" s="129"/>
      <c r="CC128" s="129"/>
      <c r="CD128" s="129"/>
      <c r="CE128" s="129"/>
      <c r="CF128" s="129"/>
      <c r="CG128" s="129"/>
    </row>
    <row r="129" spans="1:85" ht="15.75" customHeight="1">
      <c r="A129" s="129"/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30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129"/>
      <c r="BE129" s="129"/>
      <c r="BF129" s="129"/>
      <c r="BG129" s="129"/>
      <c r="BH129" s="129"/>
      <c r="BI129" s="129"/>
      <c r="BJ129" s="129"/>
      <c r="BK129" s="129"/>
      <c r="BL129" s="129"/>
      <c r="BM129" s="129"/>
      <c r="BN129" s="129"/>
      <c r="BO129" s="129"/>
      <c r="BP129" s="129"/>
      <c r="BQ129" s="129"/>
      <c r="BR129" s="129"/>
      <c r="BS129" s="129"/>
      <c r="BT129" s="129"/>
      <c r="BU129" s="129"/>
      <c r="BV129" s="129"/>
      <c r="BW129" s="129"/>
      <c r="BX129" s="129"/>
      <c r="BY129" s="129"/>
      <c r="BZ129" s="129"/>
      <c r="CA129" s="129"/>
      <c r="CB129" s="129"/>
      <c r="CC129" s="129"/>
      <c r="CD129" s="129"/>
      <c r="CE129" s="129"/>
      <c r="CF129" s="129"/>
      <c r="CG129" s="129"/>
    </row>
    <row r="130" spans="1:85" ht="15.75" customHeight="1">
      <c r="A130" s="129"/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30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129"/>
      <c r="BE130" s="129"/>
      <c r="BF130" s="129"/>
      <c r="BG130" s="129"/>
      <c r="BH130" s="129"/>
      <c r="BI130" s="129"/>
      <c r="BJ130" s="129"/>
      <c r="BK130" s="129"/>
      <c r="BL130" s="129"/>
      <c r="BM130" s="129"/>
      <c r="BN130" s="129"/>
      <c r="BO130" s="129"/>
      <c r="BP130" s="129"/>
      <c r="BQ130" s="129"/>
      <c r="BR130" s="129"/>
      <c r="BS130" s="129"/>
      <c r="BT130" s="129"/>
      <c r="BU130" s="129"/>
      <c r="BV130" s="129"/>
      <c r="BW130" s="129"/>
      <c r="BX130" s="129"/>
      <c r="BY130" s="129"/>
      <c r="BZ130" s="129"/>
      <c r="CA130" s="129"/>
      <c r="CB130" s="129"/>
      <c r="CC130" s="129"/>
      <c r="CD130" s="129"/>
      <c r="CE130" s="129"/>
      <c r="CF130" s="129"/>
      <c r="CG130" s="129"/>
    </row>
    <row r="131" spans="1:85" ht="15.75" customHeight="1">
      <c r="A131" s="129"/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30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129"/>
      <c r="BE131" s="129"/>
      <c r="BF131" s="129"/>
      <c r="BG131" s="129"/>
      <c r="BH131" s="129"/>
      <c r="BI131" s="129"/>
      <c r="BJ131" s="129"/>
      <c r="BK131" s="129"/>
      <c r="BL131" s="129"/>
      <c r="BM131" s="129"/>
      <c r="BN131" s="129"/>
      <c r="BO131" s="129"/>
      <c r="BP131" s="129"/>
      <c r="BQ131" s="129"/>
      <c r="BR131" s="129"/>
      <c r="BS131" s="129"/>
      <c r="BT131" s="129"/>
      <c r="BU131" s="129"/>
      <c r="BV131" s="129"/>
      <c r="BW131" s="129"/>
      <c r="BX131" s="129"/>
      <c r="BY131" s="129"/>
      <c r="BZ131" s="129"/>
      <c r="CA131" s="129"/>
      <c r="CB131" s="129"/>
      <c r="CC131" s="129"/>
      <c r="CD131" s="129"/>
      <c r="CE131" s="129"/>
      <c r="CF131" s="129"/>
      <c r="CG131" s="129"/>
    </row>
    <row r="132" spans="1:85" ht="15.75" customHeight="1">
      <c r="A132" s="129"/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30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129"/>
      <c r="BE132" s="129"/>
      <c r="BF132" s="129"/>
      <c r="BG132" s="129"/>
      <c r="BH132" s="129"/>
      <c r="BI132" s="129"/>
      <c r="BJ132" s="129"/>
      <c r="BK132" s="129"/>
      <c r="BL132" s="129"/>
      <c r="BM132" s="129"/>
      <c r="BN132" s="129"/>
      <c r="BO132" s="129"/>
      <c r="BP132" s="129"/>
      <c r="BQ132" s="129"/>
      <c r="BR132" s="129"/>
      <c r="BS132" s="129"/>
      <c r="BT132" s="129"/>
      <c r="BU132" s="129"/>
      <c r="BV132" s="129"/>
      <c r="BW132" s="129"/>
      <c r="BX132" s="129"/>
      <c r="BY132" s="129"/>
      <c r="BZ132" s="129"/>
      <c r="CA132" s="129"/>
      <c r="CB132" s="129"/>
      <c r="CC132" s="129"/>
      <c r="CD132" s="129"/>
      <c r="CE132" s="129"/>
      <c r="CF132" s="129"/>
      <c r="CG132" s="129"/>
    </row>
    <row r="133" spans="1:85" ht="15.75" customHeight="1">
      <c r="A133" s="129"/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30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129"/>
      <c r="BE133" s="129"/>
      <c r="BF133" s="129"/>
      <c r="BG133" s="129"/>
      <c r="BH133" s="129"/>
      <c r="BI133" s="129"/>
      <c r="BJ133" s="129"/>
      <c r="BK133" s="129"/>
      <c r="BL133" s="129"/>
      <c r="BM133" s="129"/>
      <c r="BN133" s="129"/>
      <c r="BO133" s="129"/>
      <c r="BP133" s="129"/>
      <c r="BQ133" s="129"/>
      <c r="BR133" s="129"/>
      <c r="BS133" s="129"/>
      <c r="BT133" s="129"/>
      <c r="BU133" s="129"/>
      <c r="BV133" s="129"/>
      <c r="BW133" s="129"/>
      <c r="BX133" s="129"/>
      <c r="BY133" s="129"/>
      <c r="BZ133" s="129"/>
      <c r="CA133" s="129"/>
      <c r="CB133" s="129"/>
      <c r="CC133" s="129"/>
      <c r="CD133" s="129"/>
      <c r="CE133" s="129"/>
      <c r="CF133" s="129"/>
      <c r="CG133" s="129"/>
    </row>
    <row r="134" spans="1:85" ht="15.75" customHeight="1">
      <c r="A134" s="129"/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30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129"/>
      <c r="BE134" s="129"/>
      <c r="BF134" s="129"/>
      <c r="BG134" s="129"/>
      <c r="BH134" s="129"/>
      <c r="BI134" s="129"/>
      <c r="BJ134" s="129"/>
      <c r="BK134" s="129"/>
      <c r="BL134" s="129"/>
      <c r="BM134" s="129"/>
      <c r="BN134" s="129"/>
      <c r="BO134" s="129"/>
      <c r="BP134" s="129"/>
      <c r="BQ134" s="129"/>
      <c r="BR134" s="129"/>
      <c r="BS134" s="129"/>
      <c r="BT134" s="129"/>
      <c r="BU134" s="129"/>
      <c r="BV134" s="129"/>
      <c r="BW134" s="129"/>
      <c r="BX134" s="129"/>
      <c r="BY134" s="129"/>
      <c r="BZ134" s="129"/>
      <c r="CA134" s="129"/>
      <c r="CB134" s="129"/>
      <c r="CC134" s="129"/>
      <c r="CD134" s="129"/>
      <c r="CE134" s="129"/>
      <c r="CF134" s="129"/>
      <c r="CG134" s="129"/>
    </row>
    <row r="135" spans="1:85" ht="15.75" customHeight="1">
      <c r="A135" s="129"/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30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129"/>
      <c r="BE135" s="129"/>
      <c r="BF135" s="129"/>
      <c r="BG135" s="129"/>
      <c r="BH135" s="129"/>
      <c r="BI135" s="129"/>
      <c r="BJ135" s="129"/>
      <c r="BK135" s="129"/>
      <c r="BL135" s="129"/>
      <c r="BM135" s="129"/>
      <c r="BN135" s="129"/>
      <c r="BO135" s="129"/>
      <c r="BP135" s="129"/>
      <c r="BQ135" s="129"/>
      <c r="BR135" s="129"/>
      <c r="BS135" s="129"/>
      <c r="BT135" s="129"/>
      <c r="BU135" s="129"/>
      <c r="BV135" s="129"/>
      <c r="BW135" s="129"/>
      <c r="BX135" s="129"/>
      <c r="BY135" s="129"/>
      <c r="BZ135" s="129"/>
      <c r="CA135" s="129"/>
      <c r="CB135" s="129"/>
      <c r="CC135" s="129"/>
      <c r="CD135" s="129"/>
      <c r="CE135" s="129"/>
      <c r="CF135" s="129"/>
      <c r="CG135" s="129"/>
    </row>
    <row r="136" spans="1:85" ht="15.75" customHeight="1">
      <c r="A136" s="129"/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30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129"/>
      <c r="BE136" s="129"/>
      <c r="BF136" s="129"/>
      <c r="BG136" s="129"/>
      <c r="BH136" s="129"/>
      <c r="BI136" s="129"/>
      <c r="BJ136" s="129"/>
      <c r="BK136" s="129"/>
      <c r="BL136" s="129"/>
      <c r="BM136" s="129"/>
      <c r="BN136" s="129"/>
      <c r="BO136" s="129"/>
      <c r="BP136" s="129"/>
      <c r="BQ136" s="129"/>
      <c r="BR136" s="129"/>
      <c r="BS136" s="129"/>
      <c r="BT136" s="129"/>
      <c r="BU136" s="129"/>
      <c r="BV136" s="129"/>
      <c r="BW136" s="129"/>
      <c r="BX136" s="129"/>
      <c r="BY136" s="129"/>
      <c r="BZ136" s="129"/>
      <c r="CA136" s="129"/>
      <c r="CB136" s="129"/>
      <c r="CC136" s="129"/>
      <c r="CD136" s="129"/>
      <c r="CE136" s="129"/>
      <c r="CF136" s="129"/>
      <c r="CG136" s="129"/>
    </row>
    <row r="137" spans="1:85" ht="15.75" customHeight="1">
      <c r="A137" s="129"/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30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129"/>
      <c r="BE137" s="129"/>
      <c r="BF137" s="129"/>
      <c r="BG137" s="129"/>
      <c r="BH137" s="129"/>
      <c r="BI137" s="129"/>
      <c r="BJ137" s="129"/>
      <c r="BK137" s="129"/>
      <c r="BL137" s="129"/>
      <c r="BM137" s="129"/>
      <c r="BN137" s="129"/>
      <c r="BO137" s="129"/>
      <c r="BP137" s="129"/>
      <c r="BQ137" s="129"/>
      <c r="BR137" s="129"/>
      <c r="BS137" s="129"/>
      <c r="BT137" s="129"/>
      <c r="BU137" s="129"/>
      <c r="BV137" s="129"/>
      <c r="BW137" s="129"/>
      <c r="BX137" s="129"/>
      <c r="BY137" s="129"/>
      <c r="BZ137" s="129"/>
      <c r="CA137" s="129"/>
      <c r="CB137" s="129"/>
      <c r="CC137" s="129"/>
      <c r="CD137" s="129"/>
      <c r="CE137" s="129"/>
      <c r="CF137" s="129"/>
      <c r="CG137" s="129"/>
    </row>
    <row r="138" spans="1:85" ht="15.75" customHeight="1">
      <c r="A138" s="129"/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30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129"/>
      <c r="BE138" s="129"/>
      <c r="BF138" s="129"/>
      <c r="BG138" s="129"/>
      <c r="BH138" s="129"/>
      <c r="BI138" s="129"/>
      <c r="BJ138" s="129"/>
      <c r="BK138" s="129"/>
      <c r="BL138" s="129"/>
      <c r="BM138" s="129"/>
      <c r="BN138" s="129"/>
      <c r="BO138" s="129"/>
      <c r="BP138" s="129"/>
      <c r="BQ138" s="129"/>
      <c r="BR138" s="129"/>
      <c r="BS138" s="129"/>
      <c r="BT138" s="129"/>
      <c r="BU138" s="129"/>
      <c r="BV138" s="129"/>
      <c r="BW138" s="129"/>
      <c r="BX138" s="129"/>
      <c r="BY138" s="129"/>
      <c r="BZ138" s="129"/>
      <c r="CA138" s="129"/>
      <c r="CB138" s="129"/>
      <c r="CC138" s="129"/>
      <c r="CD138" s="129"/>
      <c r="CE138" s="129"/>
      <c r="CF138" s="129"/>
      <c r="CG138" s="129"/>
    </row>
    <row r="139" spans="1:85" ht="15.75" customHeight="1">
      <c r="A139" s="129"/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30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129"/>
      <c r="BE139" s="129"/>
      <c r="BF139" s="129"/>
      <c r="BG139" s="129"/>
      <c r="BH139" s="129"/>
      <c r="BI139" s="129"/>
      <c r="BJ139" s="129"/>
      <c r="BK139" s="129"/>
      <c r="BL139" s="129"/>
      <c r="BM139" s="129"/>
      <c r="BN139" s="129"/>
      <c r="BO139" s="129"/>
      <c r="BP139" s="129"/>
      <c r="BQ139" s="129"/>
      <c r="BR139" s="129"/>
      <c r="BS139" s="129"/>
      <c r="BT139" s="129"/>
      <c r="BU139" s="129"/>
      <c r="BV139" s="129"/>
      <c r="BW139" s="129"/>
      <c r="BX139" s="129"/>
      <c r="BY139" s="129"/>
      <c r="BZ139" s="129"/>
      <c r="CA139" s="129"/>
      <c r="CB139" s="129"/>
      <c r="CC139" s="129"/>
      <c r="CD139" s="129"/>
      <c r="CE139" s="129"/>
      <c r="CF139" s="129"/>
      <c r="CG139" s="129"/>
    </row>
    <row r="140" spans="1:85" ht="15.75" customHeight="1">
      <c r="A140" s="129"/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30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129"/>
      <c r="BE140" s="129"/>
      <c r="BF140" s="129"/>
      <c r="BG140" s="129"/>
      <c r="BH140" s="129"/>
      <c r="BI140" s="129"/>
      <c r="BJ140" s="129"/>
      <c r="BK140" s="129"/>
      <c r="BL140" s="129"/>
      <c r="BM140" s="129"/>
      <c r="BN140" s="129"/>
      <c r="BO140" s="129"/>
      <c r="BP140" s="129"/>
      <c r="BQ140" s="129"/>
      <c r="BR140" s="129"/>
      <c r="BS140" s="129"/>
      <c r="BT140" s="129"/>
      <c r="BU140" s="129"/>
      <c r="BV140" s="129"/>
      <c r="BW140" s="129"/>
      <c r="BX140" s="129"/>
      <c r="BY140" s="129"/>
      <c r="BZ140" s="129"/>
      <c r="CA140" s="129"/>
      <c r="CB140" s="129"/>
      <c r="CC140" s="129"/>
      <c r="CD140" s="129"/>
      <c r="CE140" s="129"/>
      <c r="CF140" s="129"/>
      <c r="CG140" s="129"/>
    </row>
    <row r="141" spans="1:85" ht="15.75" customHeight="1">
      <c r="A141" s="129"/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30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  <c r="BP141" s="129"/>
      <c r="BQ141" s="129"/>
      <c r="BR141" s="129"/>
      <c r="BS141" s="129"/>
      <c r="BT141" s="129"/>
      <c r="BU141" s="129"/>
      <c r="BV141" s="129"/>
      <c r="BW141" s="129"/>
      <c r="BX141" s="129"/>
      <c r="BY141" s="129"/>
      <c r="BZ141" s="129"/>
      <c r="CA141" s="129"/>
      <c r="CB141" s="129"/>
      <c r="CC141" s="129"/>
      <c r="CD141" s="129"/>
      <c r="CE141" s="129"/>
      <c r="CF141" s="129"/>
      <c r="CG141" s="129"/>
    </row>
    <row r="142" spans="1:85" ht="15.75" customHeight="1">
      <c r="A142" s="129"/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30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29"/>
      <c r="BS142" s="129"/>
      <c r="BT142" s="129"/>
      <c r="BU142" s="129"/>
      <c r="BV142" s="129"/>
      <c r="BW142" s="129"/>
      <c r="BX142" s="129"/>
      <c r="BY142" s="129"/>
      <c r="BZ142" s="129"/>
      <c r="CA142" s="129"/>
      <c r="CB142" s="129"/>
      <c r="CC142" s="129"/>
      <c r="CD142" s="129"/>
      <c r="CE142" s="129"/>
      <c r="CF142" s="129"/>
      <c r="CG142" s="129"/>
    </row>
    <row r="143" spans="1:85" ht="15.75" customHeight="1">
      <c r="A143" s="129"/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30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29"/>
      <c r="BS143" s="129"/>
      <c r="BT143" s="129"/>
      <c r="BU143" s="129"/>
      <c r="BV143" s="129"/>
      <c r="BW143" s="129"/>
      <c r="BX143" s="129"/>
      <c r="BY143" s="129"/>
      <c r="BZ143" s="129"/>
      <c r="CA143" s="129"/>
      <c r="CB143" s="129"/>
      <c r="CC143" s="129"/>
      <c r="CD143" s="129"/>
      <c r="CE143" s="129"/>
      <c r="CF143" s="129"/>
      <c r="CG143" s="129"/>
    </row>
    <row r="144" spans="1:85" ht="15.75" customHeight="1">
      <c r="A144" s="129"/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30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129"/>
      <c r="BT144" s="129"/>
      <c r="BU144" s="129"/>
      <c r="BV144" s="129"/>
      <c r="BW144" s="129"/>
      <c r="BX144" s="129"/>
      <c r="BY144" s="129"/>
      <c r="BZ144" s="129"/>
      <c r="CA144" s="129"/>
      <c r="CB144" s="129"/>
      <c r="CC144" s="129"/>
      <c r="CD144" s="129"/>
      <c r="CE144" s="129"/>
      <c r="CF144" s="129"/>
      <c r="CG144" s="129"/>
    </row>
    <row r="145" spans="1:85" ht="15.75" customHeight="1">
      <c r="A145" s="129"/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30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129"/>
      <c r="BT145" s="129"/>
      <c r="BU145" s="129"/>
      <c r="BV145" s="129"/>
      <c r="BW145" s="129"/>
      <c r="BX145" s="129"/>
      <c r="BY145" s="129"/>
      <c r="BZ145" s="129"/>
      <c r="CA145" s="129"/>
      <c r="CB145" s="129"/>
      <c r="CC145" s="129"/>
      <c r="CD145" s="129"/>
      <c r="CE145" s="129"/>
      <c r="CF145" s="129"/>
      <c r="CG145" s="129"/>
    </row>
    <row r="146" spans="1:85" ht="15.75" customHeight="1">
      <c r="A146" s="129"/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30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  <c r="BP146" s="129"/>
      <c r="BQ146" s="129"/>
      <c r="BR146" s="129"/>
      <c r="BS146" s="129"/>
      <c r="BT146" s="129"/>
      <c r="BU146" s="129"/>
      <c r="BV146" s="129"/>
      <c r="BW146" s="129"/>
      <c r="BX146" s="129"/>
      <c r="BY146" s="129"/>
      <c r="BZ146" s="129"/>
      <c r="CA146" s="129"/>
      <c r="CB146" s="129"/>
      <c r="CC146" s="129"/>
      <c r="CD146" s="129"/>
      <c r="CE146" s="129"/>
      <c r="CF146" s="129"/>
      <c r="CG146" s="129"/>
    </row>
    <row r="147" spans="1:85" ht="15.75" customHeight="1">
      <c r="A147" s="129"/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30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  <c r="BP147" s="129"/>
      <c r="BQ147" s="129"/>
      <c r="BR147" s="129"/>
      <c r="BS147" s="129"/>
      <c r="BT147" s="129"/>
      <c r="BU147" s="129"/>
      <c r="BV147" s="129"/>
      <c r="BW147" s="129"/>
      <c r="BX147" s="129"/>
      <c r="BY147" s="129"/>
      <c r="BZ147" s="129"/>
      <c r="CA147" s="129"/>
      <c r="CB147" s="129"/>
      <c r="CC147" s="129"/>
      <c r="CD147" s="129"/>
      <c r="CE147" s="129"/>
      <c r="CF147" s="129"/>
      <c r="CG147" s="129"/>
    </row>
    <row r="148" spans="1:85" ht="15.75" customHeight="1">
      <c r="A148" s="129"/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30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  <c r="BP148" s="129"/>
      <c r="BQ148" s="129"/>
      <c r="BR148" s="129"/>
      <c r="BS148" s="129"/>
      <c r="BT148" s="129"/>
      <c r="BU148" s="129"/>
      <c r="BV148" s="129"/>
      <c r="BW148" s="129"/>
      <c r="BX148" s="129"/>
      <c r="BY148" s="129"/>
      <c r="BZ148" s="129"/>
      <c r="CA148" s="129"/>
      <c r="CB148" s="129"/>
      <c r="CC148" s="129"/>
      <c r="CD148" s="129"/>
      <c r="CE148" s="129"/>
      <c r="CF148" s="129"/>
      <c r="CG148" s="129"/>
    </row>
    <row r="149" spans="1:85" ht="15.75" customHeight="1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30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129"/>
      <c r="BE149" s="129"/>
      <c r="BF149" s="129"/>
      <c r="BG149" s="129"/>
      <c r="BH149" s="129"/>
      <c r="BI149" s="129"/>
      <c r="BJ149" s="129"/>
      <c r="BK149" s="129"/>
      <c r="BL149" s="129"/>
      <c r="BM149" s="129"/>
      <c r="BN149" s="129"/>
      <c r="BO149" s="129"/>
      <c r="BP149" s="129"/>
      <c r="BQ149" s="129"/>
      <c r="BR149" s="129"/>
      <c r="BS149" s="129"/>
      <c r="BT149" s="129"/>
      <c r="BU149" s="129"/>
      <c r="BV149" s="129"/>
      <c r="BW149" s="129"/>
      <c r="BX149" s="129"/>
      <c r="BY149" s="129"/>
      <c r="BZ149" s="129"/>
      <c r="CA149" s="129"/>
      <c r="CB149" s="129"/>
      <c r="CC149" s="129"/>
      <c r="CD149" s="129"/>
      <c r="CE149" s="129"/>
      <c r="CF149" s="129"/>
      <c r="CG149" s="129"/>
    </row>
    <row r="150" spans="1:85" ht="15.75" customHeight="1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30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129"/>
      <c r="BE150" s="129"/>
      <c r="BF150" s="129"/>
      <c r="BG150" s="129"/>
      <c r="BH150" s="129"/>
      <c r="BI150" s="129"/>
      <c r="BJ150" s="129"/>
      <c r="BK150" s="129"/>
      <c r="BL150" s="129"/>
      <c r="BM150" s="129"/>
      <c r="BN150" s="129"/>
      <c r="BO150" s="129"/>
      <c r="BP150" s="129"/>
      <c r="BQ150" s="129"/>
      <c r="BR150" s="129"/>
      <c r="BS150" s="129"/>
      <c r="BT150" s="129"/>
      <c r="BU150" s="129"/>
      <c r="BV150" s="129"/>
      <c r="BW150" s="129"/>
      <c r="BX150" s="129"/>
      <c r="BY150" s="129"/>
      <c r="BZ150" s="129"/>
      <c r="CA150" s="129"/>
      <c r="CB150" s="129"/>
      <c r="CC150" s="129"/>
      <c r="CD150" s="129"/>
      <c r="CE150" s="129"/>
      <c r="CF150" s="129"/>
      <c r="CG150" s="129"/>
    </row>
    <row r="151" spans="1:85" ht="15.75" customHeight="1">
      <c r="A151" s="129"/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30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129"/>
      <c r="BE151" s="129"/>
      <c r="BF151" s="129"/>
      <c r="BG151" s="129"/>
      <c r="BH151" s="129"/>
      <c r="BI151" s="129"/>
      <c r="BJ151" s="129"/>
      <c r="BK151" s="129"/>
      <c r="BL151" s="129"/>
      <c r="BM151" s="129"/>
      <c r="BN151" s="129"/>
      <c r="BO151" s="129"/>
      <c r="BP151" s="129"/>
      <c r="BQ151" s="129"/>
      <c r="BR151" s="129"/>
      <c r="BS151" s="129"/>
      <c r="BT151" s="129"/>
      <c r="BU151" s="129"/>
      <c r="BV151" s="129"/>
      <c r="BW151" s="129"/>
      <c r="BX151" s="129"/>
      <c r="BY151" s="129"/>
      <c r="BZ151" s="129"/>
      <c r="CA151" s="129"/>
      <c r="CB151" s="129"/>
      <c r="CC151" s="129"/>
      <c r="CD151" s="129"/>
      <c r="CE151" s="129"/>
      <c r="CF151" s="129"/>
      <c r="CG151" s="129"/>
    </row>
    <row r="152" spans="1:85" ht="15.75" customHeight="1">
      <c r="A152" s="129"/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30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129"/>
      <c r="BE152" s="129"/>
      <c r="BF152" s="129"/>
      <c r="BG152" s="129"/>
      <c r="BH152" s="129"/>
      <c r="BI152" s="129"/>
      <c r="BJ152" s="129"/>
      <c r="BK152" s="129"/>
      <c r="BL152" s="129"/>
      <c r="BM152" s="129"/>
      <c r="BN152" s="129"/>
      <c r="BO152" s="129"/>
      <c r="BP152" s="129"/>
      <c r="BQ152" s="129"/>
      <c r="BR152" s="129"/>
      <c r="BS152" s="129"/>
      <c r="BT152" s="129"/>
      <c r="BU152" s="129"/>
      <c r="BV152" s="129"/>
      <c r="BW152" s="129"/>
      <c r="BX152" s="129"/>
      <c r="BY152" s="129"/>
      <c r="BZ152" s="129"/>
      <c r="CA152" s="129"/>
      <c r="CB152" s="129"/>
      <c r="CC152" s="129"/>
      <c r="CD152" s="129"/>
      <c r="CE152" s="129"/>
      <c r="CF152" s="129"/>
      <c r="CG152" s="129"/>
    </row>
    <row r="153" spans="1:85" ht="15.75" customHeight="1">
      <c r="A153" s="129"/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30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129"/>
      <c r="BE153" s="129"/>
      <c r="BF153" s="129"/>
      <c r="BG153" s="129"/>
      <c r="BH153" s="129"/>
      <c r="BI153" s="129"/>
      <c r="BJ153" s="129"/>
      <c r="BK153" s="129"/>
      <c r="BL153" s="129"/>
      <c r="BM153" s="129"/>
      <c r="BN153" s="129"/>
      <c r="BO153" s="129"/>
      <c r="BP153" s="129"/>
      <c r="BQ153" s="129"/>
      <c r="BR153" s="129"/>
      <c r="BS153" s="129"/>
      <c r="BT153" s="129"/>
      <c r="BU153" s="129"/>
      <c r="BV153" s="129"/>
      <c r="BW153" s="129"/>
      <c r="BX153" s="129"/>
      <c r="BY153" s="129"/>
      <c r="BZ153" s="129"/>
      <c r="CA153" s="129"/>
      <c r="CB153" s="129"/>
      <c r="CC153" s="129"/>
      <c r="CD153" s="129"/>
      <c r="CE153" s="129"/>
      <c r="CF153" s="129"/>
      <c r="CG153" s="129"/>
    </row>
    <row r="154" spans="1:85" ht="15.75" customHeight="1">
      <c r="A154" s="129"/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30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129"/>
      <c r="BE154" s="129"/>
      <c r="BF154" s="129"/>
      <c r="BG154" s="129"/>
      <c r="BH154" s="129"/>
      <c r="BI154" s="129"/>
      <c r="BJ154" s="129"/>
      <c r="BK154" s="129"/>
      <c r="BL154" s="129"/>
      <c r="BM154" s="129"/>
      <c r="BN154" s="129"/>
      <c r="BO154" s="129"/>
      <c r="BP154" s="129"/>
      <c r="BQ154" s="129"/>
      <c r="BR154" s="129"/>
      <c r="BS154" s="129"/>
      <c r="BT154" s="129"/>
      <c r="BU154" s="129"/>
      <c r="BV154" s="129"/>
      <c r="BW154" s="129"/>
      <c r="BX154" s="129"/>
      <c r="BY154" s="129"/>
      <c r="BZ154" s="129"/>
      <c r="CA154" s="129"/>
      <c r="CB154" s="129"/>
      <c r="CC154" s="129"/>
      <c r="CD154" s="129"/>
      <c r="CE154" s="129"/>
      <c r="CF154" s="129"/>
      <c r="CG154" s="129"/>
    </row>
    <row r="155" spans="1:85" ht="15.75" customHeight="1">
      <c r="A155" s="129"/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30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129"/>
      <c r="BE155" s="129"/>
      <c r="BF155" s="129"/>
      <c r="BG155" s="129"/>
      <c r="BH155" s="129"/>
      <c r="BI155" s="129"/>
      <c r="BJ155" s="129"/>
      <c r="BK155" s="129"/>
      <c r="BL155" s="129"/>
      <c r="BM155" s="129"/>
      <c r="BN155" s="129"/>
      <c r="BO155" s="129"/>
      <c r="BP155" s="129"/>
      <c r="BQ155" s="129"/>
      <c r="BR155" s="129"/>
      <c r="BS155" s="129"/>
      <c r="BT155" s="129"/>
      <c r="BU155" s="129"/>
      <c r="BV155" s="129"/>
      <c r="BW155" s="129"/>
      <c r="BX155" s="129"/>
      <c r="BY155" s="129"/>
      <c r="BZ155" s="129"/>
      <c r="CA155" s="129"/>
      <c r="CB155" s="129"/>
      <c r="CC155" s="129"/>
      <c r="CD155" s="129"/>
      <c r="CE155" s="129"/>
      <c r="CF155" s="129"/>
      <c r="CG155" s="129"/>
    </row>
    <row r="156" spans="1:85" ht="15.75" customHeight="1">
      <c r="A156" s="129"/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30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129"/>
      <c r="BE156" s="129"/>
      <c r="BF156" s="129"/>
      <c r="BG156" s="129"/>
      <c r="BH156" s="129"/>
      <c r="BI156" s="129"/>
      <c r="BJ156" s="129"/>
      <c r="BK156" s="129"/>
      <c r="BL156" s="129"/>
      <c r="BM156" s="129"/>
      <c r="BN156" s="129"/>
      <c r="BO156" s="129"/>
      <c r="BP156" s="129"/>
      <c r="BQ156" s="129"/>
      <c r="BR156" s="129"/>
      <c r="BS156" s="129"/>
      <c r="BT156" s="129"/>
      <c r="BU156" s="129"/>
      <c r="BV156" s="129"/>
      <c r="BW156" s="129"/>
      <c r="BX156" s="129"/>
      <c r="BY156" s="129"/>
      <c r="BZ156" s="129"/>
      <c r="CA156" s="129"/>
      <c r="CB156" s="129"/>
      <c r="CC156" s="129"/>
      <c r="CD156" s="129"/>
      <c r="CE156" s="129"/>
      <c r="CF156" s="129"/>
      <c r="CG156" s="129"/>
    </row>
    <row r="157" spans="1:85" ht="15.75" customHeight="1">
      <c r="A157" s="129"/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30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129"/>
      <c r="BE157" s="129"/>
      <c r="BF157" s="129"/>
      <c r="BG157" s="129"/>
      <c r="BH157" s="129"/>
      <c r="BI157" s="129"/>
      <c r="BJ157" s="129"/>
      <c r="BK157" s="129"/>
      <c r="BL157" s="129"/>
      <c r="BM157" s="129"/>
      <c r="BN157" s="129"/>
      <c r="BO157" s="129"/>
      <c r="BP157" s="129"/>
      <c r="BQ157" s="129"/>
      <c r="BR157" s="129"/>
      <c r="BS157" s="129"/>
      <c r="BT157" s="129"/>
      <c r="BU157" s="129"/>
      <c r="BV157" s="129"/>
      <c r="BW157" s="129"/>
      <c r="BX157" s="129"/>
      <c r="BY157" s="129"/>
      <c r="BZ157" s="129"/>
      <c r="CA157" s="129"/>
      <c r="CB157" s="129"/>
      <c r="CC157" s="129"/>
      <c r="CD157" s="129"/>
      <c r="CE157" s="129"/>
      <c r="CF157" s="129"/>
      <c r="CG157" s="129"/>
    </row>
    <row r="158" spans="1:85" ht="15.75" customHeight="1">
      <c r="A158" s="129"/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30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129"/>
      <c r="BE158" s="129"/>
      <c r="BF158" s="129"/>
      <c r="BG158" s="129"/>
      <c r="BH158" s="129"/>
      <c r="BI158" s="129"/>
      <c r="BJ158" s="129"/>
      <c r="BK158" s="129"/>
      <c r="BL158" s="129"/>
      <c r="BM158" s="129"/>
      <c r="BN158" s="129"/>
      <c r="BO158" s="129"/>
      <c r="BP158" s="129"/>
      <c r="BQ158" s="129"/>
      <c r="BR158" s="129"/>
      <c r="BS158" s="129"/>
      <c r="BT158" s="129"/>
      <c r="BU158" s="129"/>
      <c r="BV158" s="129"/>
      <c r="BW158" s="129"/>
      <c r="BX158" s="129"/>
      <c r="BY158" s="129"/>
      <c r="BZ158" s="129"/>
      <c r="CA158" s="129"/>
      <c r="CB158" s="129"/>
      <c r="CC158" s="129"/>
      <c r="CD158" s="129"/>
      <c r="CE158" s="129"/>
      <c r="CF158" s="129"/>
      <c r="CG158" s="129"/>
    </row>
    <row r="159" spans="1:85" ht="15.75" customHeight="1">
      <c r="A159" s="129"/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30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129"/>
      <c r="BE159" s="129"/>
      <c r="BF159" s="129"/>
      <c r="BG159" s="129"/>
      <c r="BH159" s="129"/>
      <c r="BI159" s="129"/>
      <c r="BJ159" s="129"/>
      <c r="BK159" s="129"/>
      <c r="BL159" s="129"/>
      <c r="BM159" s="129"/>
      <c r="BN159" s="129"/>
      <c r="BO159" s="129"/>
      <c r="BP159" s="129"/>
      <c r="BQ159" s="129"/>
      <c r="BR159" s="129"/>
      <c r="BS159" s="129"/>
      <c r="BT159" s="129"/>
      <c r="BU159" s="129"/>
      <c r="BV159" s="129"/>
      <c r="BW159" s="129"/>
      <c r="BX159" s="129"/>
      <c r="BY159" s="129"/>
      <c r="BZ159" s="129"/>
      <c r="CA159" s="129"/>
      <c r="CB159" s="129"/>
      <c r="CC159" s="129"/>
      <c r="CD159" s="129"/>
      <c r="CE159" s="129"/>
      <c r="CF159" s="129"/>
      <c r="CG159" s="129"/>
    </row>
    <row r="160" spans="1:85" ht="15.75" customHeight="1">
      <c r="A160" s="129"/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30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129"/>
      <c r="BE160" s="129"/>
      <c r="BF160" s="129"/>
      <c r="BG160" s="129"/>
      <c r="BH160" s="129"/>
      <c r="BI160" s="129"/>
      <c r="BJ160" s="129"/>
      <c r="BK160" s="129"/>
      <c r="BL160" s="129"/>
      <c r="BM160" s="129"/>
      <c r="BN160" s="129"/>
      <c r="BO160" s="129"/>
      <c r="BP160" s="129"/>
      <c r="BQ160" s="129"/>
      <c r="BR160" s="129"/>
      <c r="BS160" s="129"/>
      <c r="BT160" s="129"/>
      <c r="BU160" s="129"/>
      <c r="BV160" s="129"/>
      <c r="BW160" s="129"/>
      <c r="BX160" s="129"/>
      <c r="BY160" s="129"/>
      <c r="BZ160" s="129"/>
      <c r="CA160" s="129"/>
      <c r="CB160" s="129"/>
      <c r="CC160" s="129"/>
      <c r="CD160" s="129"/>
      <c r="CE160" s="129"/>
      <c r="CF160" s="129"/>
      <c r="CG160" s="129"/>
    </row>
    <row r="161" spans="1:85" ht="15.75" customHeight="1">
      <c r="A161" s="129"/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30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129"/>
      <c r="BE161" s="129"/>
      <c r="BF161" s="129"/>
      <c r="BG161" s="129"/>
      <c r="BH161" s="129"/>
      <c r="BI161" s="129"/>
      <c r="BJ161" s="129"/>
      <c r="BK161" s="129"/>
      <c r="BL161" s="129"/>
      <c r="BM161" s="129"/>
      <c r="BN161" s="129"/>
      <c r="BO161" s="129"/>
      <c r="BP161" s="129"/>
      <c r="BQ161" s="129"/>
      <c r="BR161" s="129"/>
      <c r="BS161" s="129"/>
      <c r="BT161" s="129"/>
      <c r="BU161" s="129"/>
      <c r="BV161" s="129"/>
      <c r="BW161" s="129"/>
      <c r="BX161" s="129"/>
      <c r="BY161" s="129"/>
      <c r="BZ161" s="129"/>
      <c r="CA161" s="129"/>
      <c r="CB161" s="129"/>
      <c r="CC161" s="129"/>
      <c r="CD161" s="129"/>
      <c r="CE161" s="129"/>
      <c r="CF161" s="129"/>
      <c r="CG161" s="129"/>
    </row>
    <row r="162" spans="1:85" ht="15.75" customHeight="1">
      <c r="A162" s="129"/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30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129"/>
      <c r="BE162" s="129"/>
      <c r="BF162" s="129"/>
      <c r="BG162" s="129"/>
      <c r="BH162" s="129"/>
      <c r="BI162" s="129"/>
      <c r="BJ162" s="129"/>
      <c r="BK162" s="129"/>
      <c r="BL162" s="129"/>
      <c r="BM162" s="129"/>
      <c r="BN162" s="129"/>
      <c r="BO162" s="129"/>
      <c r="BP162" s="129"/>
      <c r="BQ162" s="129"/>
      <c r="BR162" s="129"/>
      <c r="BS162" s="129"/>
      <c r="BT162" s="129"/>
      <c r="BU162" s="129"/>
      <c r="BV162" s="129"/>
      <c r="BW162" s="129"/>
      <c r="BX162" s="129"/>
      <c r="BY162" s="129"/>
      <c r="BZ162" s="129"/>
      <c r="CA162" s="129"/>
      <c r="CB162" s="129"/>
      <c r="CC162" s="129"/>
      <c r="CD162" s="129"/>
      <c r="CE162" s="129"/>
      <c r="CF162" s="129"/>
      <c r="CG162" s="129"/>
    </row>
    <row r="163" spans="1:85" ht="15.75" customHeight="1">
      <c r="A163" s="129"/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30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129"/>
      <c r="BE163" s="129"/>
      <c r="BF163" s="129"/>
      <c r="BG163" s="129"/>
      <c r="BH163" s="129"/>
      <c r="BI163" s="129"/>
      <c r="BJ163" s="129"/>
      <c r="BK163" s="129"/>
      <c r="BL163" s="129"/>
      <c r="BM163" s="129"/>
      <c r="BN163" s="129"/>
      <c r="BO163" s="129"/>
      <c r="BP163" s="129"/>
      <c r="BQ163" s="129"/>
      <c r="BR163" s="129"/>
      <c r="BS163" s="129"/>
      <c r="BT163" s="129"/>
      <c r="BU163" s="129"/>
      <c r="BV163" s="129"/>
      <c r="BW163" s="129"/>
      <c r="BX163" s="129"/>
      <c r="BY163" s="129"/>
      <c r="BZ163" s="129"/>
      <c r="CA163" s="129"/>
      <c r="CB163" s="129"/>
      <c r="CC163" s="129"/>
      <c r="CD163" s="129"/>
      <c r="CE163" s="129"/>
      <c r="CF163" s="129"/>
      <c r="CG163" s="129"/>
    </row>
    <row r="164" spans="1:85" ht="15.75" customHeight="1">
      <c r="A164" s="129"/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30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129"/>
      <c r="BE164" s="129"/>
      <c r="BF164" s="129"/>
      <c r="BG164" s="129"/>
      <c r="BH164" s="129"/>
      <c r="BI164" s="129"/>
      <c r="BJ164" s="129"/>
      <c r="BK164" s="129"/>
      <c r="BL164" s="129"/>
      <c r="BM164" s="129"/>
      <c r="BN164" s="129"/>
      <c r="BO164" s="129"/>
      <c r="BP164" s="129"/>
      <c r="BQ164" s="129"/>
      <c r="BR164" s="129"/>
      <c r="BS164" s="129"/>
      <c r="BT164" s="129"/>
      <c r="BU164" s="129"/>
      <c r="BV164" s="129"/>
      <c r="BW164" s="129"/>
      <c r="BX164" s="129"/>
      <c r="BY164" s="129"/>
      <c r="BZ164" s="129"/>
      <c r="CA164" s="129"/>
      <c r="CB164" s="129"/>
      <c r="CC164" s="129"/>
      <c r="CD164" s="129"/>
      <c r="CE164" s="129"/>
      <c r="CF164" s="129"/>
      <c r="CG164" s="129"/>
    </row>
    <row r="165" spans="1:85" ht="15.75" customHeight="1">
      <c r="A165" s="129"/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30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  <c r="AN165" s="129"/>
      <c r="AO165" s="129"/>
      <c r="AP165" s="129"/>
      <c r="AQ165" s="129"/>
      <c r="AR165" s="129"/>
      <c r="AS165" s="129"/>
      <c r="AT165" s="129"/>
      <c r="AU165" s="129"/>
      <c r="AV165" s="129"/>
      <c r="AW165" s="129"/>
      <c r="AX165" s="129"/>
      <c r="AY165" s="129"/>
      <c r="AZ165" s="129"/>
      <c r="BA165" s="129"/>
      <c r="BB165" s="129"/>
      <c r="BC165" s="129"/>
      <c r="BD165" s="129"/>
      <c r="BE165" s="129"/>
      <c r="BF165" s="129"/>
      <c r="BG165" s="129"/>
      <c r="BH165" s="129"/>
      <c r="BI165" s="129"/>
      <c r="BJ165" s="129"/>
      <c r="BK165" s="129"/>
      <c r="BL165" s="129"/>
      <c r="BM165" s="129"/>
      <c r="BN165" s="129"/>
      <c r="BO165" s="129"/>
      <c r="BP165" s="129"/>
      <c r="BQ165" s="129"/>
      <c r="BR165" s="129"/>
      <c r="BS165" s="129"/>
      <c r="BT165" s="129"/>
      <c r="BU165" s="129"/>
      <c r="BV165" s="129"/>
      <c r="BW165" s="129"/>
      <c r="BX165" s="129"/>
      <c r="BY165" s="129"/>
      <c r="BZ165" s="129"/>
      <c r="CA165" s="129"/>
      <c r="CB165" s="129"/>
      <c r="CC165" s="129"/>
      <c r="CD165" s="129"/>
      <c r="CE165" s="129"/>
      <c r="CF165" s="129"/>
      <c r="CG165" s="129"/>
    </row>
    <row r="166" spans="1:85" ht="15.75" customHeight="1">
      <c r="A166" s="129"/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30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/>
      <c r="AQ166" s="129"/>
      <c r="AR166" s="129"/>
      <c r="AS166" s="129"/>
      <c r="AT166" s="129"/>
      <c r="AU166" s="129"/>
      <c r="AV166" s="129"/>
      <c r="AW166" s="129"/>
      <c r="AX166" s="129"/>
      <c r="AY166" s="129"/>
      <c r="AZ166" s="129"/>
      <c r="BA166" s="129"/>
      <c r="BB166" s="129"/>
      <c r="BC166" s="129"/>
      <c r="BD166" s="129"/>
      <c r="BE166" s="129"/>
      <c r="BF166" s="129"/>
      <c r="BG166" s="129"/>
      <c r="BH166" s="129"/>
      <c r="BI166" s="129"/>
      <c r="BJ166" s="129"/>
      <c r="BK166" s="129"/>
      <c r="BL166" s="129"/>
      <c r="BM166" s="129"/>
      <c r="BN166" s="129"/>
      <c r="BO166" s="129"/>
      <c r="BP166" s="129"/>
      <c r="BQ166" s="129"/>
      <c r="BR166" s="129"/>
      <c r="BS166" s="129"/>
      <c r="BT166" s="129"/>
      <c r="BU166" s="129"/>
      <c r="BV166" s="129"/>
      <c r="BW166" s="129"/>
      <c r="BX166" s="129"/>
      <c r="BY166" s="129"/>
      <c r="BZ166" s="129"/>
      <c r="CA166" s="129"/>
      <c r="CB166" s="129"/>
      <c r="CC166" s="129"/>
      <c r="CD166" s="129"/>
      <c r="CE166" s="129"/>
      <c r="CF166" s="129"/>
      <c r="CG166" s="129"/>
    </row>
    <row r="167" spans="1:85" ht="15.75" customHeight="1">
      <c r="A167" s="129"/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30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/>
      <c r="AQ167" s="129"/>
      <c r="AR167" s="129"/>
      <c r="AS167" s="129"/>
      <c r="AT167" s="129"/>
      <c r="AU167" s="129"/>
      <c r="AV167" s="129"/>
      <c r="AW167" s="129"/>
      <c r="AX167" s="129"/>
      <c r="AY167" s="129"/>
      <c r="AZ167" s="129"/>
      <c r="BA167" s="129"/>
      <c r="BB167" s="129"/>
      <c r="BC167" s="129"/>
      <c r="BD167" s="129"/>
      <c r="BE167" s="129"/>
      <c r="BF167" s="129"/>
      <c r="BG167" s="129"/>
      <c r="BH167" s="129"/>
      <c r="BI167" s="129"/>
      <c r="BJ167" s="129"/>
      <c r="BK167" s="129"/>
      <c r="BL167" s="129"/>
      <c r="BM167" s="129"/>
      <c r="BN167" s="129"/>
      <c r="BO167" s="129"/>
      <c r="BP167" s="129"/>
      <c r="BQ167" s="129"/>
      <c r="BR167" s="129"/>
      <c r="BS167" s="129"/>
      <c r="BT167" s="129"/>
      <c r="BU167" s="129"/>
      <c r="BV167" s="129"/>
      <c r="BW167" s="129"/>
      <c r="BX167" s="129"/>
      <c r="BY167" s="129"/>
      <c r="BZ167" s="129"/>
      <c r="CA167" s="129"/>
      <c r="CB167" s="129"/>
      <c r="CC167" s="129"/>
      <c r="CD167" s="129"/>
      <c r="CE167" s="129"/>
      <c r="CF167" s="129"/>
      <c r="CG167" s="129"/>
    </row>
    <row r="168" spans="1:85" ht="15.75" customHeight="1">
      <c r="A168" s="129"/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30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/>
      <c r="AQ168" s="129"/>
      <c r="AR168" s="129"/>
      <c r="AS168" s="129"/>
      <c r="AT168" s="129"/>
      <c r="AU168" s="129"/>
      <c r="AV168" s="129"/>
      <c r="AW168" s="129"/>
      <c r="AX168" s="129"/>
      <c r="AY168" s="129"/>
      <c r="AZ168" s="129"/>
      <c r="BA168" s="129"/>
      <c r="BB168" s="129"/>
      <c r="BC168" s="129"/>
      <c r="BD168" s="129"/>
      <c r="BE168" s="129"/>
      <c r="BF168" s="129"/>
      <c r="BG168" s="129"/>
      <c r="BH168" s="129"/>
      <c r="BI168" s="129"/>
      <c r="BJ168" s="129"/>
      <c r="BK168" s="129"/>
      <c r="BL168" s="129"/>
      <c r="BM168" s="129"/>
      <c r="BN168" s="129"/>
      <c r="BO168" s="129"/>
      <c r="BP168" s="129"/>
      <c r="BQ168" s="129"/>
      <c r="BR168" s="129"/>
      <c r="BS168" s="129"/>
      <c r="BT168" s="129"/>
      <c r="BU168" s="129"/>
      <c r="BV168" s="129"/>
      <c r="BW168" s="129"/>
      <c r="BX168" s="129"/>
      <c r="BY168" s="129"/>
      <c r="BZ168" s="129"/>
      <c r="CA168" s="129"/>
      <c r="CB168" s="129"/>
      <c r="CC168" s="129"/>
      <c r="CD168" s="129"/>
      <c r="CE168" s="129"/>
      <c r="CF168" s="129"/>
      <c r="CG168" s="129"/>
    </row>
    <row r="169" spans="1:85" ht="15.75" customHeight="1">
      <c r="A169" s="129"/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30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/>
      <c r="AQ169" s="129"/>
      <c r="AR169" s="129"/>
      <c r="AS169" s="129"/>
      <c r="AT169" s="129"/>
      <c r="AU169" s="129"/>
      <c r="AV169" s="129"/>
      <c r="AW169" s="129"/>
      <c r="AX169" s="129"/>
      <c r="AY169" s="129"/>
      <c r="AZ169" s="129"/>
      <c r="BA169" s="129"/>
      <c r="BB169" s="129"/>
      <c r="BC169" s="129"/>
      <c r="BD169" s="129"/>
      <c r="BE169" s="129"/>
      <c r="BF169" s="129"/>
      <c r="BG169" s="129"/>
      <c r="BH169" s="129"/>
      <c r="BI169" s="129"/>
      <c r="BJ169" s="129"/>
      <c r="BK169" s="129"/>
      <c r="BL169" s="129"/>
      <c r="BM169" s="129"/>
      <c r="BN169" s="129"/>
      <c r="BO169" s="129"/>
      <c r="BP169" s="129"/>
      <c r="BQ169" s="129"/>
      <c r="BR169" s="129"/>
      <c r="BS169" s="129"/>
      <c r="BT169" s="129"/>
      <c r="BU169" s="129"/>
      <c r="BV169" s="129"/>
      <c r="BW169" s="129"/>
      <c r="BX169" s="129"/>
      <c r="BY169" s="129"/>
      <c r="BZ169" s="129"/>
      <c r="CA169" s="129"/>
      <c r="CB169" s="129"/>
      <c r="CC169" s="129"/>
      <c r="CD169" s="129"/>
      <c r="CE169" s="129"/>
      <c r="CF169" s="129"/>
      <c r="CG169" s="129"/>
    </row>
    <row r="170" spans="1:85" ht="15.75" customHeight="1">
      <c r="A170" s="129"/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30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/>
      <c r="AQ170" s="129"/>
      <c r="AR170" s="129"/>
      <c r="AS170" s="129"/>
      <c r="AT170" s="129"/>
      <c r="AU170" s="129"/>
      <c r="AV170" s="129"/>
      <c r="AW170" s="129"/>
      <c r="AX170" s="129"/>
      <c r="AY170" s="129"/>
      <c r="AZ170" s="129"/>
      <c r="BA170" s="129"/>
      <c r="BB170" s="129"/>
      <c r="BC170" s="129"/>
      <c r="BD170" s="129"/>
      <c r="BE170" s="129"/>
      <c r="BF170" s="129"/>
      <c r="BG170" s="129"/>
      <c r="BH170" s="129"/>
      <c r="BI170" s="129"/>
      <c r="BJ170" s="129"/>
      <c r="BK170" s="129"/>
      <c r="BL170" s="129"/>
      <c r="BM170" s="129"/>
      <c r="BN170" s="129"/>
      <c r="BO170" s="129"/>
      <c r="BP170" s="129"/>
      <c r="BQ170" s="129"/>
      <c r="BR170" s="129"/>
      <c r="BS170" s="129"/>
      <c r="BT170" s="129"/>
      <c r="BU170" s="129"/>
      <c r="BV170" s="129"/>
      <c r="BW170" s="129"/>
      <c r="BX170" s="129"/>
      <c r="BY170" s="129"/>
      <c r="BZ170" s="129"/>
      <c r="CA170" s="129"/>
      <c r="CB170" s="129"/>
      <c r="CC170" s="129"/>
      <c r="CD170" s="129"/>
      <c r="CE170" s="129"/>
      <c r="CF170" s="129"/>
      <c r="CG170" s="129"/>
    </row>
    <row r="171" spans="1:85" ht="15.75" customHeight="1">
      <c r="A171" s="129"/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30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/>
      <c r="AQ171" s="129"/>
      <c r="AR171" s="129"/>
      <c r="AS171" s="129"/>
      <c r="AT171" s="129"/>
      <c r="AU171" s="129"/>
      <c r="AV171" s="129"/>
      <c r="AW171" s="129"/>
      <c r="AX171" s="129"/>
      <c r="AY171" s="129"/>
      <c r="AZ171" s="129"/>
      <c r="BA171" s="129"/>
      <c r="BB171" s="129"/>
      <c r="BC171" s="129"/>
      <c r="BD171" s="129"/>
      <c r="BE171" s="129"/>
      <c r="BF171" s="129"/>
      <c r="BG171" s="129"/>
      <c r="BH171" s="129"/>
      <c r="BI171" s="129"/>
      <c r="BJ171" s="129"/>
      <c r="BK171" s="129"/>
      <c r="BL171" s="129"/>
      <c r="BM171" s="129"/>
      <c r="BN171" s="129"/>
      <c r="BO171" s="129"/>
      <c r="BP171" s="129"/>
      <c r="BQ171" s="129"/>
      <c r="BR171" s="129"/>
      <c r="BS171" s="129"/>
      <c r="BT171" s="129"/>
      <c r="BU171" s="129"/>
      <c r="BV171" s="129"/>
      <c r="BW171" s="129"/>
      <c r="BX171" s="129"/>
      <c r="BY171" s="129"/>
      <c r="BZ171" s="129"/>
      <c r="CA171" s="129"/>
      <c r="CB171" s="129"/>
      <c r="CC171" s="129"/>
      <c r="CD171" s="129"/>
      <c r="CE171" s="129"/>
      <c r="CF171" s="129"/>
      <c r="CG171" s="129"/>
    </row>
    <row r="172" spans="1:85" ht="15.75" customHeight="1">
      <c r="A172" s="129"/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30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/>
      <c r="AQ172" s="129"/>
      <c r="AR172" s="129"/>
      <c r="AS172" s="129"/>
      <c r="AT172" s="129"/>
      <c r="AU172" s="129"/>
      <c r="AV172" s="129"/>
      <c r="AW172" s="129"/>
      <c r="AX172" s="129"/>
      <c r="AY172" s="129"/>
      <c r="AZ172" s="129"/>
      <c r="BA172" s="129"/>
      <c r="BB172" s="129"/>
      <c r="BC172" s="129"/>
      <c r="BD172" s="129"/>
      <c r="BE172" s="129"/>
      <c r="BF172" s="129"/>
      <c r="BG172" s="129"/>
      <c r="BH172" s="129"/>
      <c r="BI172" s="129"/>
      <c r="BJ172" s="129"/>
      <c r="BK172" s="129"/>
      <c r="BL172" s="129"/>
      <c r="BM172" s="129"/>
      <c r="BN172" s="129"/>
      <c r="BO172" s="129"/>
      <c r="BP172" s="129"/>
      <c r="BQ172" s="129"/>
      <c r="BR172" s="129"/>
      <c r="BS172" s="129"/>
      <c r="BT172" s="129"/>
      <c r="BU172" s="129"/>
      <c r="BV172" s="129"/>
      <c r="BW172" s="129"/>
      <c r="BX172" s="129"/>
      <c r="BY172" s="129"/>
      <c r="BZ172" s="129"/>
      <c r="CA172" s="129"/>
      <c r="CB172" s="129"/>
      <c r="CC172" s="129"/>
      <c r="CD172" s="129"/>
      <c r="CE172" s="129"/>
      <c r="CF172" s="129"/>
      <c r="CG172" s="129"/>
    </row>
    <row r="173" spans="1:85" ht="15.75" customHeight="1">
      <c r="A173" s="129"/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30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/>
      <c r="AQ173" s="129"/>
      <c r="AR173" s="129"/>
      <c r="AS173" s="129"/>
      <c r="AT173" s="129"/>
      <c r="AU173" s="129"/>
      <c r="AV173" s="129"/>
      <c r="AW173" s="129"/>
      <c r="AX173" s="129"/>
      <c r="AY173" s="129"/>
      <c r="AZ173" s="129"/>
      <c r="BA173" s="129"/>
      <c r="BB173" s="129"/>
      <c r="BC173" s="129"/>
      <c r="BD173" s="129"/>
      <c r="BE173" s="129"/>
      <c r="BF173" s="129"/>
      <c r="BG173" s="129"/>
      <c r="BH173" s="129"/>
      <c r="BI173" s="129"/>
      <c r="BJ173" s="129"/>
      <c r="BK173" s="129"/>
      <c r="BL173" s="129"/>
      <c r="BM173" s="129"/>
      <c r="BN173" s="129"/>
      <c r="BO173" s="129"/>
      <c r="BP173" s="129"/>
      <c r="BQ173" s="129"/>
      <c r="BR173" s="129"/>
      <c r="BS173" s="129"/>
      <c r="BT173" s="129"/>
      <c r="BU173" s="129"/>
      <c r="BV173" s="129"/>
      <c r="BW173" s="129"/>
      <c r="BX173" s="129"/>
      <c r="BY173" s="129"/>
      <c r="BZ173" s="129"/>
      <c r="CA173" s="129"/>
      <c r="CB173" s="129"/>
      <c r="CC173" s="129"/>
      <c r="CD173" s="129"/>
      <c r="CE173" s="129"/>
      <c r="CF173" s="129"/>
      <c r="CG173" s="129"/>
    </row>
    <row r="174" spans="1:85" ht="15.75" customHeight="1">
      <c r="A174" s="129"/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/>
      <c r="AQ174" s="129"/>
      <c r="AR174" s="129"/>
      <c r="AS174" s="129"/>
      <c r="AT174" s="129"/>
      <c r="AU174" s="129"/>
      <c r="AV174" s="129"/>
      <c r="AW174" s="129"/>
      <c r="AX174" s="129"/>
      <c r="AY174" s="129"/>
      <c r="AZ174" s="129"/>
      <c r="BA174" s="129"/>
      <c r="BB174" s="129"/>
      <c r="BC174" s="129"/>
      <c r="BD174" s="129"/>
      <c r="BE174" s="129"/>
      <c r="BF174" s="129"/>
      <c r="BG174" s="129"/>
      <c r="BH174" s="129"/>
      <c r="BI174" s="129"/>
      <c r="BJ174" s="129"/>
      <c r="BK174" s="129"/>
      <c r="BL174" s="129"/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129"/>
      <c r="BW174" s="129"/>
      <c r="BX174" s="129"/>
      <c r="BY174" s="129"/>
      <c r="BZ174" s="129"/>
      <c r="CA174" s="129"/>
      <c r="CB174" s="129"/>
      <c r="CC174" s="129"/>
      <c r="CD174" s="129"/>
      <c r="CE174" s="129"/>
      <c r="CF174" s="129"/>
      <c r="CG174" s="129"/>
    </row>
    <row r="175" spans="1:85" ht="15.75" customHeight="1">
      <c r="A175" s="129"/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30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/>
      <c r="AQ175" s="129"/>
      <c r="AR175" s="129"/>
      <c r="AS175" s="129"/>
      <c r="AT175" s="129"/>
      <c r="AU175" s="129"/>
      <c r="AV175" s="129"/>
      <c r="AW175" s="129"/>
      <c r="AX175" s="129"/>
      <c r="AY175" s="129"/>
      <c r="AZ175" s="129"/>
      <c r="BA175" s="129"/>
      <c r="BB175" s="129"/>
      <c r="BC175" s="129"/>
      <c r="BD175" s="129"/>
      <c r="BE175" s="129"/>
      <c r="BF175" s="129"/>
      <c r="BG175" s="129"/>
      <c r="BH175" s="129"/>
      <c r="BI175" s="129"/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29"/>
      <c r="BU175" s="129"/>
      <c r="BV175" s="129"/>
      <c r="BW175" s="129"/>
      <c r="BX175" s="129"/>
      <c r="BY175" s="129"/>
      <c r="BZ175" s="129"/>
      <c r="CA175" s="129"/>
      <c r="CB175" s="129"/>
      <c r="CC175" s="129"/>
      <c r="CD175" s="129"/>
      <c r="CE175" s="129"/>
      <c r="CF175" s="129"/>
      <c r="CG175" s="129"/>
    </row>
    <row r="176" spans="1:85" ht="15.75" customHeight="1">
      <c r="A176" s="129"/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30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/>
      <c r="AQ176" s="129"/>
      <c r="AR176" s="129"/>
      <c r="AS176" s="129"/>
      <c r="AT176" s="129"/>
      <c r="AU176" s="129"/>
      <c r="AV176" s="129"/>
      <c r="AW176" s="129"/>
      <c r="AX176" s="129"/>
      <c r="AY176" s="129"/>
      <c r="AZ176" s="129"/>
      <c r="BA176" s="129"/>
      <c r="BB176" s="129"/>
      <c r="BC176" s="129"/>
      <c r="BD176" s="129"/>
      <c r="BE176" s="129"/>
      <c r="BF176" s="129"/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29"/>
      <c r="BQ176" s="129"/>
      <c r="BR176" s="129"/>
      <c r="BS176" s="129"/>
      <c r="BT176" s="129"/>
      <c r="BU176" s="129"/>
      <c r="BV176" s="129"/>
      <c r="BW176" s="129"/>
      <c r="BX176" s="129"/>
      <c r="BY176" s="129"/>
      <c r="BZ176" s="129"/>
      <c r="CA176" s="129"/>
      <c r="CB176" s="129"/>
      <c r="CC176" s="129"/>
      <c r="CD176" s="129"/>
      <c r="CE176" s="129"/>
      <c r="CF176" s="129"/>
      <c r="CG176" s="129"/>
    </row>
    <row r="177" spans="1:85" ht="15.75" customHeight="1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30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/>
      <c r="AQ177" s="129"/>
      <c r="AR177" s="129"/>
      <c r="AS177" s="129"/>
      <c r="AT177" s="129"/>
      <c r="AU177" s="129"/>
      <c r="AV177" s="129"/>
      <c r="AW177" s="129"/>
      <c r="AX177" s="129"/>
      <c r="AY177" s="129"/>
      <c r="AZ177" s="129"/>
      <c r="BA177" s="129"/>
      <c r="BB177" s="129"/>
      <c r="BC177" s="129"/>
      <c r="BD177" s="129"/>
      <c r="BE177" s="129"/>
      <c r="BF177" s="129"/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29"/>
      <c r="BS177" s="129"/>
      <c r="BT177" s="129"/>
      <c r="BU177" s="129"/>
      <c r="BV177" s="129"/>
      <c r="BW177" s="129"/>
      <c r="BX177" s="129"/>
      <c r="BY177" s="129"/>
      <c r="BZ177" s="129"/>
      <c r="CA177" s="129"/>
      <c r="CB177" s="129"/>
      <c r="CC177" s="129"/>
      <c r="CD177" s="129"/>
      <c r="CE177" s="129"/>
      <c r="CF177" s="129"/>
      <c r="CG177" s="129"/>
    </row>
    <row r="178" spans="1:85" ht="15.75" customHeight="1">
      <c r="A178" s="129"/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30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/>
      <c r="AQ178" s="129"/>
      <c r="AR178" s="129"/>
      <c r="AS178" s="129"/>
      <c r="AT178" s="129"/>
      <c r="AU178" s="129"/>
      <c r="AV178" s="129"/>
      <c r="AW178" s="129"/>
      <c r="AX178" s="129"/>
      <c r="AY178" s="129"/>
      <c r="AZ178" s="129"/>
      <c r="BA178" s="129"/>
      <c r="BB178" s="129"/>
      <c r="BC178" s="129"/>
      <c r="BD178" s="129"/>
      <c r="BE178" s="129"/>
      <c r="BF178" s="129"/>
      <c r="BG178" s="129"/>
      <c r="BH178" s="129"/>
      <c r="BI178" s="129"/>
      <c r="BJ178" s="129"/>
      <c r="BK178" s="129"/>
      <c r="BL178" s="129"/>
      <c r="BM178" s="129"/>
      <c r="BN178" s="129"/>
      <c r="BO178" s="129"/>
      <c r="BP178" s="129"/>
      <c r="BQ178" s="129"/>
      <c r="BR178" s="129"/>
      <c r="BS178" s="129"/>
      <c r="BT178" s="129"/>
      <c r="BU178" s="129"/>
      <c r="BV178" s="129"/>
      <c r="BW178" s="129"/>
      <c r="BX178" s="129"/>
      <c r="BY178" s="129"/>
      <c r="BZ178" s="129"/>
      <c r="CA178" s="129"/>
      <c r="CB178" s="129"/>
      <c r="CC178" s="129"/>
      <c r="CD178" s="129"/>
      <c r="CE178" s="129"/>
      <c r="CF178" s="129"/>
      <c r="CG178" s="129"/>
    </row>
    <row r="179" spans="1:85" ht="15.75" customHeight="1">
      <c r="A179" s="129"/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30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/>
      <c r="AQ179" s="129"/>
      <c r="AR179" s="129"/>
      <c r="AS179" s="129"/>
      <c r="AT179" s="129"/>
      <c r="AU179" s="129"/>
      <c r="AV179" s="129"/>
      <c r="AW179" s="129"/>
      <c r="AX179" s="129"/>
      <c r="AY179" s="129"/>
      <c r="AZ179" s="129"/>
      <c r="BA179" s="129"/>
      <c r="BB179" s="129"/>
      <c r="BC179" s="129"/>
      <c r="BD179" s="129"/>
      <c r="BE179" s="129"/>
      <c r="BF179" s="129"/>
      <c r="BG179" s="129"/>
      <c r="BH179" s="129"/>
      <c r="BI179" s="129"/>
      <c r="BJ179" s="129"/>
      <c r="BK179" s="129"/>
      <c r="BL179" s="129"/>
      <c r="BM179" s="129"/>
      <c r="BN179" s="129"/>
      <c r="BO179" s="129"/>
      <c r="BP179" s="129"/>
      <c r="BQ179" s="129"/>
      <c r="BR179" s="129"/>
      <c r="BS179" s="129"/>
      <c r="BT179" s="129"/>
      <c r="BU179" s="129"/>
      <c r="BV179" s="129"/>
      <c r="BW179" s="129"/>
      <c r="BX179" s="129"/>
      <c r="BY179" s="129"/>
      <c r="BZ179" s="129"/>
      <c r="CA179" s="129"/>
      <c r="CB179" s="129"/>
      <c r="CC179" s="129"/>
      <c r="CD179" s="129"/>
      <c r="CE179" s="129"/>
      <c r="CF179" s="129"/>
      <c r="CG179" s="129"/>
    </row>
    <row r="180" spans="1:85" ht="15.75" customHeight="1">
      <c r="A180" s="129"/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30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/>
      <c r="AQ180" s="129"/>
      <c r="AR180" s="129"/>
      <c r="AS180" s="129"/>
      <c r="AT180" s="129"/>
      <c r="AU180" s="129"/>
      <c r="AV180" s="129"/>
      <c r="AW180" s="129"/>
      <c r="AX180" s="129"/>
      <c r="AY180" s="129"/>
      <c r="AZ180" s="129"/>
      <c r="BA180" s="129"/>
      <c r="BB180" s="129"/>
      <c r="BC180" s="129"/>
      <c r="BD180" s="129"/>
      <c r="BE180" s="129"/>
      <c r="BF180" s="129"/>
      <c r="BG180" s="129"/>
      <c r="BH180" s="129"/>
      <c r="BI180" s="129"/>
      <c r="BJ180" s="129"/>
      <c r="BK180" s="129"/>
      <c r="BL180" s="129"/>
      <c r="BM180" s="129"/>
      <c r="BN180" s="129"/>
      <c r="BO180" s="129"/>
      <c r="BP180" s="129"/>
      <c r="BQ180" s="129"/>
      <c r="BR180" s="129"/>
      <c r="BS180" s="129"/>
      <c r="BT180" s="129"/>
      <c r="BU180" s="129"/>
      <c r="BV180" s="129"/>
      <c r="BW180" s="129"/>
      <c r="BX180" s="129"/>
      <c r="BY180" s="129"/>
      <c r="BZ180" s="129"/>
      <c r="CA180" s="129"/>
      <c r="CB180" s="129"/>
      <c r="CC180" s="129"/>
      <c r="CD180" s="129"/>
      <c r="CE180" s="129"/>
      <c r="CF180" s="129"/>
      <c r="CG180" s="129"/>
    </row>
    <row r="181" spans="1:85" ht="15.75" customHeight="1">
      <c r="A181" s="129"/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30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/>
      <c r="AQ181" s="129"/>
      <c r="AR181" s="129"/>
      <c r="AS181" s="129"/>
      <c r="AT181" s="129"/>
      <c r="AU181" s="129"/>
      <c r="AV181" s="129"/>
      <c r="AW181" s="129"/>
      <c r="AX181" s="129"/>
      <c r="AY181" s="129"/>
      <c r="AZ181" s="129"/>
      <c r="BA181" s="129"/>
      <c r="BB181" s="129"/>
      <c r="BC181" s="129"/>
      <c r="BD181" s="129"/>
      <c r="BE181" s="129"/>
      <c r="BF181" s="129"/>
      <c r="BG181" s="129"/>
      <c r="BH181" s="129"/>
      <c r="BI181" s="129"/>
      <c r="BJ181" s="129"/>
      <c r="BK181" s="129"/>
      <c r="BL181" s="129"/>
      <c r="BM181" s="129"/>
      <c r="BN181" s="129"/>
      <c r="BO181" s="129"/>
      <c r="BP181" s="129"/>
      <c r="BQ181" s="129"/>
      <c r="BR181" s="129"/>
      <c r="BS181" s="129"/>
      <c r="BT181" s="129"/>
      <c r="BU181" s="129"/>
      <c r="BV181" s="129"/>
      <c r="BW181" s="129"/>
      <c r="BX181" s="129"/>
      <c r="BY181" s="129"/>
      <c r="BZ181" s="129"/>
      <c r="CA181" s="129"/>
      <c r="CB181" s="129"/>
      <c r="CC181" s="129"/>
      <c r="CD181" s="129"/>
      <c r="CE181" s="129"/>
      <c r="CF181" s="129"/>
      <c r="CG181" s="129"/>
    </row>
    <row r="182" spans="1:85" ht="15.75" customHeight="1">
      <c r="A182" s="129"/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30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/>
      <c r="AQ182" s="129"/>
      <c r="AR182" s="129"/>
      <c r="AS182" s="129"/>
      <c r="AT182" s="129"/>
      <c r="AU182" s="129"/>
      <c r="AV182" s="129"/>
      <c r="AW182" s="129"/>
      <c r="AX182" s="129"/>
      <c r="AY182" s="129"/>
      <c r="AZ182" s="129"/>
      <c r="BA182" s="129"/>
      <c r="BB182" s="129"/>
      <c r="BC182" s="129"/>
      <c r="BD182" s="129"/>
      <c r="BE182" s="129"/>
      <c r="BF182" s="129"/>
      <c r="BG182" s="129"/>
      <c r="BH182" s="129"/>
      <c r="BI182" s="129"/>
      <c r="BJ182" s="129"/>
      <c r="BK182" s="129"/>
      <c r="BL182" s="129"/>
      <c r="BM182" s="129"/>
      <c r="BN182" s="129"/>
      <c r="BO182" s="129"/>
      <c r="BP182" s="129"/>
      <c r="BQ182" s="129"/>
      <c r="BR182" s="129"/>
      <c r="BS182" s="129"/>
      <c r="BT182" s="129"/>
      <c r="BU182" s="129"/>
      <c r="BV182" s="129"/>
      <c r="BW182" s="129"/>
      <c r="BX182" s="129"/>
      <c r="BY182" s="129"/>
      <c r="BZ182" s="129"/>
      <c r="CA182" s="129"/>
      <c r="CB182" s="129"/>
      <c r="CC182" s="129"/>
      <c r="CD182" s="129"/>
      <c r="CE182" s="129"/>
      <c r="CF182" s="129"/>
      <c r="CG182" s="129"/>
    </row>
    <row r="183" spans="1:85" ht="15.75" customHeight="1">
      <c r="A183" s="129"/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30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/>
      <c r="AQ183" s="129"/>
      <c r="AR183" s="129"/>
      <c r="AS183" s="129"/>
      <c r="AT183" s="129"/>
      <c r="AU183" s="129"/>
      <c r="AV183" s="129"/>
      <c r="AW183" s="129"/>
      <c r="AX183" s="129"/>
      <c r="AY183" s="129"/>
      <c r="AZ183" s="129"/>
      <c r="BA183" s="129"/>
      <c r="BB183" s="129"/>
      <c r="BC183" s="129"/>
      <c r="BD183" s="129"/>
      <c r="BE183" s="129"/>
      <c r="BF183" s="129"/>
      <c r="BG183" s="129"/>
      <c r="BH183" s="129"/>
      <c r="BI183" s="129"/>
      <c r="BJ183" s="129"/>
      <c r="BK183" s="129"/>
      <c r="BL183" s="129"/>
      <c r="BM183" s="129"/>
      <c r="BN183" s="129"/>
      <c r="BO183" s="129"/>
      <c r="BP183" s="129"/>
      <c r="BQ183" s="129"/>
      <c r="BR183" s="129"/>
      <c r="BS183" s="129"/>
      <c r="BT183" s="129"/>
      <c r="BU183" s="129"/>
      <c r="BV183" s="129"/>
      <c r="BW183" s="129"/>
      <c r="BX183" s="129"/>
      <c r="BY183" s="129"/>
      <c r="BZ183" s="129"/>
      <c r="CA183" s="129"/>
      <c r="CB183" s="129"/>
      <c r="CC183" s="129"/>
      <c r="CD183" s="129"/>
      <c r="CE183" s="129"/>
      <c r="CF183" s="129"/>
      <c r="CG183" s="129"/>
    </row>
    <row r="184" spans="1:85" ht="15.75" customHeight="1">
      <c r="A184" s="129"/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30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/>
      <c r="AQ184" s="129"/>
      <c r="AR184" s="129"/>
      <c r="AS184" s="129"/>
      <c r="AT184" s="129"/>
      <c r="AU184" s="129"/>
      <c r="AV184" s="129"/>
      <c r="AW184" s="129"/>
      <c r="AX184" s="129"/>
      <c r="AY184" s="129"/>
      <c r="AZ184" s="129"/>
      <c r="BA184" s="129"/>
      <c r="BB184" s="129"/>
      <c r="BC184" s="129"/>
      <c r="BD184" s="129"/>
      <c r="BE184" s="129"/>
      <c r="BF184" s="129"/>
      <c r="BG184" s="129"/>
      <c r="BH184" s="129"/>
      <c r="BI184" s="129"/>
      <c r="BJ184" s="129"/>
      <c r="BK184" s="129"/>
      <c r="BL184" s="129"/>
      <c r="BM184" s="129"/>
      <c r="BN184" s="129"/>
      <c r="BO184" s="129"/>
      <c r="BP184" s="129"/>
      <c r="BQ184" s="129"/>
      <c r="BR184" s="129"/>
      <c r="BS184" s="129"/>
      <c r="BT184" s="129"/>
      <c r="BU184" s="129"/>
      <c r="BV184" s="129"/>
      <c r="BW184" s="129"/>
      <c r="BX184" s="129"/>
      <c r="BY184" s="129"/>
      <c r="BZ184" s="129"/>
      <c r="CA184" s="129"/>
      <c r="CB184" s="129"/>
      <c r="CC184" s="129"/>
      <c r="CD184" s="129"/>
      <c r="CE184" s="129"/>
      <c r="CF184" s="129"/>
      <c r="CG184" s="129"/>
    </row>
    <row r="185" spans="1:85" ht="15.75" customHeight="1">
      <c r="A185" s="129"/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30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/>
      <c r="AQ185" s="129"/>
      <c r="AR185" s="129"/>
      <c r="AS185" s="129"/>
      <c r="AT185" s="129"/>
      <c r="AU185" s="129"/>
      <c r="AV185" s="129"/>
      <c r="AW185" s="129"/>
      <c r="AX185" s="129"/>
      <c r="AY185" s="129"/>
      <c r="AZ185" s="129"/>
      <c r="BA185" s="129"/>
      <c r="BB185" s="129"/>
      <c r="BC185" s="129"/>
      <c r="BD185" s="129"/>
      <c r="BE185" s="129"/>
      <c r="BF185" s="129"/>
      <c r="BG185" s="129"/>
      <c r="BH185" s="129"/>
      <c r="BI185" s="129"/>
      <c r="BJ185" s="129"/>
      <c r="BK185" s="129"/>
      <c r="BL185" s="129"/>
      <c r="BM185" s="129"/>
      <c r="BN185" s="129"/>
      <c r="BO185" s="129"/>
      <c r="BP185" s="129"/>
      <c r="BQ185" s="129"/>
      <c r="BR185" s="129"/>
      <c r="BS185" s="129"/>
      <c r="BT185" s="129"/>
      <c r="BU185" s="129"/>
      <c r="BV185" s="129"/>
      <c r="BW185" s="129"/>
      <c r="BX185" s="129"/>
      <c r="BY185" s="129"/>
      <c r="BZ185" s="129"/>
      <c r="CA185" s="129"/>
      <c r="CB185" s="129"/>
      <c r="CC185" s="129"/>
      <c r="CD185" s="129"/>
      <c r="CE185" s="129"/>
      <c r="CF185" s="129"/>
      <c r="CG185" s="129"/>
    </row>
    <row r="186" spans="1:85" ht="15.75" customHeight="1">
      <c r="A186" s="129"/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30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/>
      <c r="AQ186" s="129"/>
      <c r="AR186" s="129"/>
      <c r="AS186" s="129"/>
      <c r="AT186" s="129"/>
      <c r="AU186" s="129"/>
      <c r="AV186" s="129"/>
      <c r="AW186" s="129"/>
      <c r="AX186" s="129"/>
      <c r="AY186" s="129"/>
      <c r="AZ186" s="129"/>
      <c r="BA186" s="129"/>
      <c r="BB186" s="129"/>
      <c r="BC186" s="129"/>
      <c r="BD186" s="129"/>
      <c r="BE186" s="129"/>
      <c r="BF186" s="129"/>
      <c r="BG186" s="129"/>
      <c r="BH186" s="129"/>
      <c r="BI186" s="129"/>
      <c r="BJ186" s="129"/>
      <c r="BK186" s="129"/>
      <c r="BL186" s="129"/>
      <c r="BM186" s="129"/>
      <c r="BN186" s="129"/>
      <c r="BO186" s="129"/>
      <c r="BP186" s="129"/>
      <c r="BQ186" s="129"/>
      <c r="BR186" s="129"/>
      <c r="BS186" s="129"/>
      <c r="BT186" s="129"/>
      <c r="BU186" s="129"/>
      <c r="BV186" s="129"/>
      <c r="BW186" s="129"/>
      <c r="BX186" s="129"/>
      <c r="BY186" s="129"/>
      <c r="BZ186" s="129"/>
      <c r="CA186" s="129"/>
      <c r="CB186" s="129"/>
      <c r="CC186" s="129"/>
      <c r="CD186" s="129"/>
      <c r="CE186" s="129"/>
      <c r="CF186" s="129"/>
      <c r="CG186" s="129"/>
    </row>
    <row r="187" spans="1:85" ht="15.75" customHeight="1">
      <c r="A187" s="129"/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30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/>
      <c r="AQ187" s="129"/>
      <c r="AR187" s="129"/>
      <c r="AS187" s="129"/>
      <c r="AT187" s="129"/>
      <c r="AU187" s="129"/>
      <c r="AV187" s="129"/>
      <c r="AW187" s="129"/>
      <c r="AX187" s="129"/>
      <c r="AY187" s="129"/>
      <c r="AZ187" s="129"/>
      <c r="BA187" s="129"/>
      <c r="BB187" s="129"/>
      <c r="BC187" s="129"/>
      <c r="BD187" s="129"/>
      <c r="BE187" s="129"/>
      <c r="BF187" s="129"/>
      <c r="BG187" s="129"/>
      <c r="BH187" s="129"/>
      <c r="BI187" s="129"/>
      <c r="BJ187" s="129"/>
      <c r="BK187" s="129"/>
      <c r="BL187" s="129"/>
      <c r="BM187" s="129"/>
      <c r="BN187" s="129"/>
      <c r="BO187" s="129"/>
      <c r="BP187" s="129"/>
      <c r="BQ187" s="129"/>
      <c r="BR187" s="129"/>
      <c r="BS187" s="129"/>
      <c r="BT187" s="129"/>
      <c r="BU187" s="129"/>
      <c r="BV187" s="129"/>
      <c r="BW187" s="129"/>
      <c r="BX187" s="129"/>
      <c r="BY187" s="129"/>
      <c r="BZ187" s="129"/>
      <c r="CA187" s="129"/>
      <c r="CB187" s="129"/>
      <c r="CC187" s="129"/>
      <c r="CD187" s="129"/>
      <c r="CE187" s="129"/>
      <c r="CF187" s="129"/>
      <c r="CG187" s="129"/>
    </row>
    <row r="188" spans="1:85" ht="15.75" customHeight="1">
      <c r="A188" s="129"/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30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/>
      <c r="AQ188" s="129"/>
      <c r="AR188" s="129"/>
      <c r="AS188" s="129"/>
      <c r="AT188" s="129"/>
      <c r="AU188" s="129"/>
      <c r="AV188" s="129"/>
      <c r="AW188" s="129"/>
      <c r="AX188" s="129"/>
      <c r="AY188" s="129"/>
      <c r="AZ188" s="129"/>
      <c r="BA188" s="129"/>
      <c r="BB188" s="129"/>
      <c r="BC188" s="129"/>
      <c r="BD188" s="129"/>
      <c r="BE188" s="129"/>
      <c r="BF188" s="129"/>
      <c r="BG188" s="129"/>
      <c r="BH188" s="129"/>
      <c r="BI188" s="129"/>
      <c r="BJ188" s="129"/>
      <c r="BK188" s="129"/>
      <c r="BL188" s="129"/>
      <c r="BM188" s="129"/>
      <c r="BN188" s="129"/>
      <c r="BO188" s="129"/>
      <c r="BP188" s="129"/>
      <c r="BQ188" s="129"/>
      <c r="BR188" s="129"/>
      <c r="BS188" s="129"/>
      <c r="BT188" s="129"/>
      <c r="BU188" s="129"/>
      <c r="BV188" s="129"/>
      <c r="BW188" s="129"/>
      <c r="BX188" s="129"/>
      <c r="BY188" s="129"/>
      <c r="BZ188" s="129"/>
      <c r="CA188" s="129"/>
      <c r="CB188" s="129"/>
      <c r="CC188" s="129"/>
      <c r="CD188" s="129"/>
      <c r="CE188" s="129"/>
      <c r="CF188" s="129"/>
      <c r="CG188" s="129"/>
    </row>
    <row r="189" spans="1:85" ht="15.75" customHeight="1">
      <c r="A189" s="129"/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30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/>
      <c r="AQ189" s="129"/>
      <c r="AR189" s="129"/>
      <c r="AS189" s="129"/>
      <c r="AT189" s="129"/>
      <c r="AU189" s="129"/>
      <c r="AV189" s="129"/>
      <c r="AW189" s="129"/>
      <c r="AX189" s="129"/>
      <c r="AY189" s="129"/>
      <c r="AZ189" s="129"/>
      <c r="BA189" s="129"/>
      <c r="BB189" s="129"/>
      <c r="BC189" s="129"/>
      <c r="BD189" s="129"/>
      <c r="BE189" s="129"/>
      <c r="BF189" s="129"/>
      <c r="BG189" s="129"/>
      <c r="BH189" s="129"/>
      <c r="BI189" s="129"/>
      <c r="BJ189" s="129"/>
      <c r="BK189" s="129"/>
      <c r="BL189" s="129"/>
      <c r="BM189" s="129"/>
      <c r="BN189" s="129"/>
      <c r="BO189" s="129"/>
      <c r="BP189" s="129"/>
      <c r="BQ189" s="129"/>
      <c r="BR189" s="129"/>
      <c r="BS189" s="129"/>
      <c r="BT189" s="129"/>
      <c r="BU189" s="129"/>
      <c r="BV189" s="129"/>
      <c r="BW189" s="129"/>
      <c r="BX189" s="129"/>
      <c r="BY189" s="129"/>
      <c r="BZ189" s="129"/>
      <c r="CA189" s="129"/>
      <c r="CB189" s="129"/>
      <c r="CC189" s="129"/>
      <c r="CD189" s="129"/>
      <c r="CE189" s="129"/>
      <c r="CF189" s="129"/>
      <c r="CG189" s="129"/>
    </row>
    <row r="190" spans="1:85" ht="15.75" customHeight="1">
      <c r="A190" s="129"/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30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/>
      <c r="AQ190" s="129"/>
      <c r="AR190" s="129"/>
      <c r="AS190" s="129"/>
      <c r="AT190" s="129"/>
      <c r="AU190" s="129"/>
      <c r="AV190" s="129"/>
      <c r="AW190" s="129"/>
      <c r="AX190" s="129"/>
      <c r="AY190" s="129"/>
      <c r="AZ190" s="129"/>
      <c r="BA190" s="129"/>
      <c r="BB190" s="129"/>
      <c r="BC190" s="129"/>
      <c r="BD190" s="129"/>
      <c r="BE190" s="129"/>
      <c r="BF190" s="129"/>
      <c r="BG190" s="129"/>
      <c r="BH190" s="129"/>
      <c r="BI190" s="129"/>
      <c r="BJ190" s="129"/>
      <c r="BK190" s="129"/>
      <c r="BL190" s="129"/>
      <c r="BM190" s="129"/>
      <c r="BN190" s="129"/>
      <c r="BO190" s="129"/>
      <c r="BP190" s="129"/>
      <c r="BQ190" s="129"/>
      <c r="BR190" s="129"/>
      <c r="BS190" s="129"/>
      <c r="BT190" s="129"/>
      <c r="BU190" s="129"/>
      <c r="BV190" s="129"/>
      <c r="BW190" s="129"/>
      <c r="BX190" s="129"/>
      <c r="BY190" s="129"/>
      <c r="BZ190" s="129"/>
      <c r="CA190" s="129"/>
      <c r="CB190" s="129"/>
      <c r="CC190" s="129"/>
      <c r="CD190" s="129"/>
      <c r="CE190" s="129"/>
      <c r="CF190" s="129"/>
      <c r="CG190" s="129"/>
    </row>
    <row r="191" spans="1:85" ht="15.75" customHeight="1">
      <c r="A191" s="129"/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30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/>
      <c r="AQ191" s="129"/>
      <c r="AR191" s="129"/>
      <c r="AS191" s="129"/>
      <c r="AT191" s="129"/>
      <c r="AU191" s="129"/>
      <c r="AV191" s="129"/>
      <c r="AW191" s="129"/>
      <c r="AX191" s="129"/>
      <c r="AY191" s="129"/>
      <c r="AZ191" s="129"/>
      <c r="BA191" s="129"/>
      <c r="BB191" s="129"/>
      <c r="BC191" s="129"/>
      <c r="BD191" s="129"/>
      <c r="BE191" s="129"/>
      <c r="BF191" s="129"/>
      <c r="BG191" s="129"/>
      <c r="BH191" s="129"/>
      <c r="BI191" s="129"/>
      <c r="BJ191" s="129"/>
      <c r="BK191" s="129"/>
      <c r="BL191" s="129"/>
      <c r="BM191" s="129"/>
      <c r="BN191" s="129"/>
      <c r="BO191" s="129"/>
      <c r="BP191" s="129"/>
      <c r="BQ191" s="129"/>
      <c r="BR191" s="129"/>
      <c r="BS191" s="129"/>
      <c r="BT191" s="129"/>
      <c r="BU191" s="129"/>
      <c r="BV191" s="129"/>
      <c r="BW191" s="129"/>
      <c r="BX191" s="129"/>
      <c r="BY191" s="129"/>
      <c r="BZ191" s="129"/>
      <c r="CA191" s="129"/>
      <c r="CB191" s="129"/>
      <c r="CC191" s="129"/>
      <c r="CD191" s="129"/>
      <c r="CE191" s="129"/>
      <c r="CF191" s="129"/>
      <c r="CG191" s="129"/>
    </row>
    <row r="192" spans="1:85" ht="15.75" customHeight="1">
      <c r="A192" s="129"/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30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/>
      <c r="AQ192" s="129"/>
      <c r="AR192" s="129"/>
      <c r="AS192" s="129"/>
      <c r="AT192" s="129"/>
      <c r="AU192" s="129"/>
      <c r="AV192" s="129"/>
      <c r="AW192" s="129"/>
      <c r="AX192" s="129"/>
      <c r="AY192" s="129"/>
      <c r="AZ192" s="129"/>
      <c r="BA192" s="129"/>
      <c r="BB192" s="129"/>
      <c r="BC192" s="129"/>
      <c r="BD192" s="129"/>
      <c r="BE192" s="129"/>
      <c r="BF192" s="129"/>
      <c r="BG192" s="129"/>
      <c r="BH192" s="129"/>
      <c r="BI192" s="129"/>
      <c r="BJ192" s="129"/>
      <c r="BK192" s="129"/>
      <c r="BL192" s="129"/>
      <c r="BM192" s="129"/>
      <c r="BN192" s="129"/>
      <c r="BO192" s="129"/>
      <c r="BP192" s="129"/>
      <c r="BQ192" s="129"/>
      <c r="BR192" s="129"/>
      <c r="BS192" s="129"/>
      <c r="BT192" s="129"/>
      <c r="BU192" s="129"/>
      <c r="BV192" s="129"/>
      <c r="BW192" s="129"/>
      <c r="BX192" s="129"/>
      <c r="BY192" s="129"/>
      <c r="BZ192" s="129"/>
      <c r="CA192" s="129"/>
      <c r="CB192" s="129"/>
      <c r="CC192" s="129"/>
      <c r="CD192" s="129"/>
      <c r="CE192" s="129"/>
      <c r="CF192" s="129"/>
      <c r="CG192" s="129"/>
    </row>
    <row r="193" spans="1:85" ht="15.75" customHeight="1">
      <c r="A193" s="129"/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30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/>
      <c r="AQ193" s="129"/>
      <c r="AR193" s="129"/>
      <c r="AS193" s="129"/>
      <c r="AT193" s="129"/>
      <c r="AU193" s="129"/>
      <c r="AV193" s="129"/>
      <c r="AW193" s="129"/>
      <c r="AX193" s="129"/>
      <c r="AY193" s="129"/>
      <c r="AZ193" s="129"/>
      <c r="BA193" s="129"/>
      <c r="BB193" s="129"/>
      <c r="BC193" s="129"/>
      <c r="BD193" s="129"/>
      <c r="BE193" s="129"/>
      <c r="BF193" s="129"/>
      <c r="BG193" s="129"/>
      <c r="BH193" s="129"/>
      <c r="BI193" s="129"/>
      <c r="BJ193" s="129"/>
      <c r="BK193" s="129"/>
      <c r="BL193" s="129"/>
      <c r="BM193" s="129"/>
      <c r="BN193" s="129"/>
      <c r="BO193" s="129"/>
      <c r="BP193" s="129"/>
      <c r="BQ193" s="129"/>
      <c r="BR193" s="129"/>
      <c r="BS193" s="129"/>
      <c r="BT193" s="129"/>
      <c r="BU193" s="129"/>
      <c r="BV193" s="129"/>
      <c r="BW193" s="129"/>
      <c r="BX193" s="129"/>
      <c r="BY193" s="129"/>
      <c r="BZ193" s="129"/>
      <c r="CA193" s="129"/>
      <c r="CB193" s="129"/>
      <c r="CC193" s="129"/>
      <c r="CD193" s="129"/>
      <c r="CE193" s="129"/>
      <c r="CF193" s="129"/>
      <c r="CG193" s="129"/>
    </row>
    <row r="194" spans="1:85" ht="15.75" customHeight="1">
      <c r="A194" s="129"/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30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/>
      <c r="AQ194" s="129"/>
      <c r="AR194" s="129"/>
      <c r="AS194" s="129"/>
      <c r="AT194" s="129"/>
      <c r="AU194" s="129"/>
      <c r="AV194" s="129"/>
      <c r="AW194" s="129"/>
      <c r="AX194" s="129"/>
      <c r="AY194" s="129"/>
      <c r="AZ194" s="129"/>
      <c r="BA194" s="129"/>
      <c r="BB194" s="129"/>
      <c r="BC194" s="129"/>
      <c r="BD194" s="129"/>
      <c r="BE194" s="129"/>
      <c r="BF194" s="129"/>
      <c r="BG194" s="129"/>
      <c r="BH194" s="129"/>
      <c r="BI194" s="129"/>
      <c r="BJ194" s="129"/>
      <c r="BK194" s="129"/>
      <c r="BL194" s="129"/>
      <c r="BM194" s="129"/>
      <c r="BN194" s="129"/>
      <c r="BO194" s="129"/>
      <c r="BP194" s="129"/>
      <c r="BQ194" s="129"/>
      <c r="BR194" s="129"/>
      <c r="BS194" s="129"/>
      <c r="BT194" s="129"/>
      <c r="BU194" s="129"/>
      <c r="BV194" s="129"/>
      <c r="BW194" s="129"/>
      <c r="BX194" s="129"/>
      <c r="BY194" s="129"/>
      <c r="BZ194" s="129"/>
      <c r="CA194" s="129"/>
      <c r="CB194" s="129"/>
      <c r="CC194" s="129"/>
      <c r="CD194" s="129"/>
      <c r="CE194" s="129"/>
      <c r="CF194" s="129"/>
      <c r="CG194" s="129"/>
    </row>
    <row r="195" spans="1:85" ht="15.75" customHeight="1">
      <c r="A195" s="129"/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30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/>
      <c r="AQ195" s="129"/>
      <c r="AR195" s="129"/>
      <c r="AS195" s="129"/>
      <c r="AT195" s="129"/>
      <c r="AU195" s="129"/>
      <c r="AV195" s="129"/>
      <c r="AW195" s="129"/>
      <c r="AX195" s="129"/>
      <c r="AY195" s="129"/>
      <c r="AZ195" s="129"/>
      <c r="BA195" s="129"/>
      <c r="BB195" s="129"/>
      <c r="BC195" s="129"/>
      <c r="BD195" s="129"/>
      <c r="BE195" s="129"/>
      <c r="BF195" s="129"/>
      <c r="BG195" s="129"/>
      <c r="BH195" s="129"/>
      <c r="BI195" s="129"/>
      <c r="BJ195" s="129"/>
      <c r="BK195" s="129"/>
      <c r="BL195" s="129"/>
      <c r="BM195" s="129"/>
      <c r="BN195" s="129"/>
      <c r="BO195" s="129"/>
      <c r="BP195" s="129"/>
      <c r="BQ195" s="129"/>
      <c r="BR195" s="129"/>
      <c r="BS195" s="129"/>
      <c r="BT195" s="129"/>
      <c r="BU195" s="129"/>
      <c r="BV195" s="129"/>
      <c r="BW195" s="129"/>
      <c r="BX195" s="129"/>
      <c r="BY195" s="129"/>
      <c r="BZ195" s="129"/>
      <c r="CA195" s="129"/>
      <c r="CB195" s="129"/>
      <c r="CC195" s="129"/>
      <c r="CD195" s="129"/>
      <c r="CE195" s="129"/>
      <c r="CF195" s="129"/>
      <c r="CG195" s="129"/>
    </row>
    <row r="196" spans="1:85" ht="15.75" customHeight="1">
      <c r="A196" s="129"/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30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/>
      <c r="AQ196" s="129"/>
      <c r="AR196" s="129"/>
      <c r="AS196" s="129"/>
      <c r="AT196" s="129"/>
      <c r="AU196" s="129"/>
      <c r="AV196" s="129"/>
      <c r="AW196" s="129"/>
      <c r="AX196" s="129"/>
      <c r="AY196" s="129"/>
      <c r="AZ196" s="129"/>
      <c r="BA196" s="129"/>
      <c r="BB196" s="129"/>
      <c r="BC196" s="129"/>
      <c r="BD196" s="129"/>
      <c r="BE196" s="129"/>
      <c r="BF196" s="129"/>
      <c r="BG196" s="129"/>
      <c r="BH196" s="129"/>
      <c r="BI196" s="129"/>
      <c r="BJ196" s="129"/>
      <c r="BK196" s="129"/>
      <c r="BL196" s="129"/>
      <c r="BM196" s="129"/>
      <c r="BN196" s="129"/>
      <c r="BO196" s="129"/>
      <c r="BP196" s="129"/>
      <c r="BQ196" s="129"/>
      <c r="BR196" s="129"/>
      <c r="BS196" s="129"/>
      <c r="BT196" s="129"/>
      <c r="BU196" s="129"/>
      <c r="BV196" s="129"/>
      <c r="BW196" s="129"/>
      <c r="BX196" s="129"/>
      <c r="BY196" s="129"/>
      <c r="BZ196" s="129"/>
      <c r="CA196" s="129"/>
      <c r="CB196" s="129"/>
      <c r="CC196" s="129"/>
      <c r="CD196" s="129"/>
      <c r="CE196" s="129"/>
      <c r="CF196" s="129"/>
      <c r="CG196" s="129"/>
    </row>
    <row r="197" spans="1:85" ht="15.75" customHeight="1">
      <c r="A197" s="129"/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30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/>
      <c r="AQ197" s="129"/>
      <c r="AR197" s="129"/>
      <c r="AS197" s="129"/>
      <c r="AT197" s="129"/>
      <c r="AU197" s="129"/>
      <c r="AV197" s="129"/>
      <c r="AW197" s="129"/>
      <c r="AX197" s="129"/>
      <c r="AY197" s="129"/>
      <c r="AZ197" s="129"/>
      <c r="BA197" s="129"/>
      <c r="BB197" s="129"/>
      <c r="BC197" s="129"/>
      <c r="BD197" s="129"/>
      <c r="BE197" s="129"/>
      <c r="BF197" s="129"/>
      <c r="BG197" s="129"/>
      <c r="BH197" s="129"/>
      <c r="BI197" s="129"/>
      <c r="BJ197" s="129"/>
      <c r="BK197" s="129"/>
      <c r="BL197" s="129"/>
      <c r="BM197" s="129"/>
      <c r="BN197" s="129"/>
      <c r="BO197" s="129"/>
      <c r="BP197" s="129"/>
      <c r="BQ197" s="129"/>
      <c r="BR197" s="129"/>
      <c r="BS197" s="129"/>
      <c r="BT197" s="129"/>
      <c r="BU197" s="129"/>
      <c r="BV197" s="129"/>
      <c r="BW197" s="129"/>
      <c r="BX197" s="129"/>
      <c r="BY197" s="129"/>
      <c r="BZ197" s="129"/>
      <c r="CA197" s="129"/>
      <c r="CB197" s="129"/>
      <c r="CC197" s="129"/>
      <c r="CD197" s="129"/>
      <c r="CE197" s="129"/>
      <c r="CF197" s="129"/>
      <c r="CG197" s="129"/>
    </row>
    <row r="198" spans="1:85" ht="15.75" customHeight="1">
      <c r="A198" s="129"/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30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129"/>
      <c r="AZ198" s="129"/>
      <c r="BA198" s="129"/>
      <c r="BB198" s="129"/>
      <c r="BC198" s="129"/>
      <c r="BD198" s="129"/>
      <c r="BE198" s="129"/>
      <c r="BF198" s="129"/>
      <c r="BG198" s="129"/>
      <c r="BH198" s="129"/>
      <c r="BI198" s="129"/>
      <c r="BJ198" s="129"/>
      <c r="BK198" s="129"/>
      <c r="BL198" s="129"/>
      <c r="BM198" s="129"/>
      <c r="BN198" s="129"/>
      <c r="BO198" s="129"/>
      <c r="BP198" s="129"/>
      <c r="BQ198" s="129"/>
      <c r="BR198" s="129"/>
      <c r="BS198" s="129"/>
      <c r="BT198" s="129"/>
      <c r="BU198" s="129"/>
      <c r="BV198" s="129"/>
      <c r="BW198" s="129"/>
      <c r="BX198" s="129"/>
      <c r="BY198" s="129"/>
      <c r="BZ198" s="129"/>
      <c r="CA198" s="129"/>
      <c r="CB198" s="129"/>
      <c r="CC198" s="129"/>
      <c r="CD198" s="129"/>
      <c r="CE198" s="129"/>
      <c r="CF198" s="129"/>
      <c r="CG198" s="129"/>
    </row>
    <row r="199" spans="1:85" ht="15.75" customHeight="1">
      <c r="A199" s="129"/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30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129"/>
      <c r="AZ199" s="129"/>
      <c r="BA199" s="129"/>
      <c r="BB199" s="129"/>
      <c r="BC199" s="129"/>
      <c r="BD199" s="129"/>
      <c r="BE199" s="129"/>
      <c r="BF199" s="129"/>
      <c r="BG199" s="129"/>
      <c r="BH199" s="129"/>
      <c r="BI199" s="129"/>
      <c r="BJ199" s="129"/>
      <c r="BK199" s="129"/>
      <c r="BL199" s="129"/>
      <c r="BM199" s="129"/>
      <c r="BN199" s="129"/>
      <c r="BO199" s="129"/>
      <c r="BP199" s="129"/>
      <c r="BQ199" s="129"/>
      <c r="BR199" s="129"/>
      <c r="BS199" s="129"/>
      <c r="BT199" s="129"/>
      <c r="BU199" s="129"/>
      <c r="BV199" s="129"/>
      <c r="BW199" s="129"/>
      <c r="BX199" s="129"/>
      <c r="BY199" s="129"/>
      <c r="BZ199" s="129"/>
      <c r="CA199" s="129"/>
      <c r="CB199" s="129"/>
      <c r="CC199" s="129"/>
      <c r="CD199" s="129"/>
      <c r="CE199" s="129"/>
      <c r="CF199" s="129"/>
      <c r="CG199" s="129"/>
    </row>
    <row r="200" spans="1:85" ht="15.75" customHeight="1">
      <c r="A200" s="129"/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30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129"/>
      <c r="AZ200" s="129"/>
      <c r="BA200" s="129"/>
      <c r="BB200" s="129"/>
      <c r="BC200" s="129"/>
      <c r="BD200" s="129"/>
      <c r="BE200" s="129"/>
      <c r="BF200" s="129"/>
      <c r="BG200" s="129"/>
      <c r="BH200" s="129"/>
      <c r="BI200" s="129"/>
      <c r="BJ200" s="129"/>
      <c r="BK200" s="129"/>
      <c r="BL200" s="129"/>
      <c r="BM200" s="129"/>
      <c r="BN200" s="129"/>
      <c r="BO200" s="129"/>
      <c r="BP200" s="129"/>
      <c r="BQ200" s="129"/>
      <c r="BR200" s="129"/>
      <c r="BS200" s="129"/>
      <c r="BT200" s="129"/>
      <c r="BU200" s="129"/>
      <c r="BV200" s="129"/>
      <c r="BW200" s="129"/>
      <c r="BX200" s="129"/>
      <c r="BY200" s="129"/>
      <c r="BZ200" s="129"/>
      <c r="CA200" s="129"/>
      <c r="CB200" s="129"/>
      <c r="CC200" s="129"/>
      <c r="CD200" s="129"/>
      <c r="CE200" s="129"/>
      <c r="CF200" s="129"/>
      <c r="CG200" s="129"/>
    </row>
    <row r="201" spans="1:85" ht="15.75" customHeight="1">
      <c r="A201" s="129"/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30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  <c r="AN201" s="129"/>
      <c r="AO201" s="129"/>
      <c r="AP201" s="129"/>
      <c r="AQ201" s="129"/>
      <c r="AR201" s="129"/>
      <c r="AS201" s="129"/>
      <c r="AT201" s="129"/>
      <c r="AU201" s="129"/>
      <c r="AV201" s="129"/>
      <c r="AW201" s="129"/>
      <c r="AX201" s="129"/>
      <c r="AY201" s="129"/>
      <c r="AZ201" s="129"/>
      <c r="BA201" s="129"/>
      <c r="BB201" s="129"/>
      <c r="BC201" s="129"/>
      <c r="BD201" s="129"/>
      <c r="BE201" s="129"/>
      <c r="BF201" s="129"/>
      <c r="BG201" s="129"/>
      <c r="BH201" s="129"/>
      <c r="BI201" s="129"/>
      <c r="BJ201" s="129"/>
      <c r="BK201" s="129"/>
      <c r="BL201" s="129"/>
      <c r="BM201" s="129"/>
      <c r="BN201" s="129"/>
      <c r="BO201" s="129"/>
      <c r="BP201" s="129"/>
      <c r="BQ201" s="129"/>
      <c r="BR201" s="129"/>
      <c r="BS201" s="129"/>
      <c r="BT201" s="129"/>
      <c r="BU201" s="129"/>
      <c r="BV201" s="129"/>
      <c r="BW201" s="129"/>
      <c r="BX201" s="129"/>
      <c r="BY201" s="129"/>
      <c r="BZ201" s="129"/>
      <c r="CA201" s="129"/>
      <c r="CB201" s="129"/>
      <c r="CC201" s="129"/>
      <c r="CD201" s="129"/>
      <c r="CE201" s="129"/>
      <c r="CF201" s="129"/>
      <c r="CG201" s="129"/>
    </row>
    <row r="202" spans="1:85" ht="15.75" customHeight="1">
      <c r="A202" s="129"/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30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/>
      <c r="AQ202" s="129"/>
      <c r="AR202" s="129"/>
      <c r="AS202" s="129"/>
      <c r="AT202" s="129"/>
      <c r="AU202" s="129"/>
      <c r="AV202" s="129"/>
      <c r="AW202" s="129"/>
      <c r="AX202" s="129"/>
      <c r="AY202" s="129"/>
      <c r="AZ202" s="129"/>
      <c r="BA202" s="129"/>
      <c r="BB202" s="129"/>
      <c r="BC202" s="129"/>
      <c r="BD202" s="129"/>
      <c r="BE202" s="129"/>
      <c r="BF202" s="129"/>
      <c r="BG202" s="129"/>
      <c r="BH202" s="129"/>
      <c r="BI202" s="129"/>
      <c r="BJ202" s="129"/>
      <c r="BK202" s="129"/>
      <c r="BL202" s="129"/>
      <c r="BM202" s="129"/>
      <c r="BN202" s="129"/>
      <c r="BO202" s="129"/>
      <c r="BP202" s="129"/>
      <c r="BQ202" s="129"/>
      <c r="BR202" s="129"/>
      <c r="BS202" s="129"/>
      <c r="BT202" s="129"/>
      <c r="BU202" s="129"/>
      <c r="BV202" s="129"/>
      <c r="BW202" s="129"/>
      <c r="BX202" s="129"/>
      <c r="BY202" s="129"/>
      <c r="BZ202" s="129"/>
      <c r="CA202" s="129"/>
      <c r="CB202" s="129"/>
      <c r="CC202" s="129"/>
      <c r="CD202" s="129"/>
      <c r="CE202" s="129"/>
      <c r="CF202" s="129"/>
      <c r="CG202" s="129"/>
    </row>
    <row r="203" spans="1:85" ht="15.75" customHeight="1">
      <c r="A203" s="129"/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30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/>
      <c r="AQ203" s="129"/>
      <c r="AR203" s="129"/>
      <c r="AS203" s="129"/>
      <c r="AT203" s="129"/>
      <c r="AU203" s="129"/>
      <c r="AV203" s="129"/>
      <c r="AW203" s="129"/>
      <c r="AX203" s="129"/>
      <c r="AY203" s="129"/>
      <c r="AZ203" s="129"/>
      <c r="BA203" s="129"/>
      <c r="BB203" s="129"/>
      <c r="BC203" s="129"/>
      <c r="BD203" s="129"/>
      <c r="BE203" s="129"/>
      <c r="BF203" s="129"/>
      <c r="BG203" s="129"/>
      <c r="BH203" s="129"/>
      <c r="BI203" s="129"/>
      <c r="BJ203" s="129"/>
      <c r="BK203" s="129"/>
      <c r="BL203" s="129"/>
      <c r="BM203" s="129"/>
      <c r="BN203" s="129"/>
      <c r="BO203" s="129"/>
      <c r="BP203" s="129"/>
      <c r="BQ203" s="129"/>
      <c r="BR203" s="129"/>
      <c r="BS203" s="129"/>
      <c r="BT203" s="129"/>
      <c r="BU203" s="129"/>
      <c r="BV203" s="129"/>
      <c r="BW203" s="129"/>
      <c r="BX203" s="129"/>
      <c r="BY203" s="129"/>
      <c r="BZ203" s="129"/>
      <c r="CA203" s="129"/>
      <c r="CB203" s="129"/>
      <c r="CC203" s="129"/>
      <c r="CD203" s="129"/>
      <c r="CE203" s="129"/>
      <c r="CF203" s="129"/>
      <c r="CG203" s="129"/>
    </row>
    <row r="204" spans="1:85" ht="15.75" customHeight="1">
      <c r="A204" s="129"/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30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/>
      <c r="AQ204" s="129"/>
      <c r="AR204" s="129"/>
      <c r="AS204" s="129"/>
      <c r="AT204" s="129"/>
      <c r="AU204" s="129"/>
      <c r="AV204" s="129"/>
      <c r="AW204" s="129"/>
      <c r="AX204" s="129"/>
      <c r="AY204" s="129"/>
      <c r="AZ204" s="129"/>
      <c r="BA204" s="129"/>
      <c r="BB204" s="129"/>
      <c r="BC204" s="129"/>
      <c r="BD204" s="129"/>
      <c r="BE204" s="129"/>
      <c r="BF204" s="129"/>
      <c r="BG204" s="129"/>
      <c r="BH204" s="129"/>
      <c r="BI204" s="129"/>
      <c r="BJ204" s="129"/>
      <c r="BK204" s="129"/>
      <c r="BL204" s="129"/>
      <c r="BM204" s="129"/>
      <c r="BN204" s="129"/>
      <c r="BO204" s="129"/>
      <c r="BP204" s="129"/>
      <c r="BQ204" s="129"/>
      <c r="BR204" s="129"/>
      <c r="BS204" s="129"/>
      <c r="BT204" s="129"/>
      <c r="BU204" s="129"/>
      <c r="BV204" s="129"/>
      <c r="BW204" s="129"/>
      <c r="BX204" s="129"/>
      <c r="BY204" s="129"/>
      <c r="BZ204" s="129"/>
      <c r="CA204" s="129"/>
      <c r="CB204" s="129"/>
      <c r="CC204" s="129"/>
      <c r="CD204" s="129"/>
      <c r="CE204" s="129"/>
      <c r="CF204" s="129"/>
      <c r="CG204" s="129"/>
    </row>
    <row r="205" spans="1:85" ht="15.75" customHeight="1">
      <c r="A205" s="129"/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30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/>
      <c r="AQ205" s="129"/>
      <c r="AR205" s="129"/>
      <c r="AS205" s="129"/>
      <c r="AT205" s="129"/>
      <c r="AU205" s="129"/>
      <c r="AV205" s="129"/>
      <c r="AW205" s="129"/>
      <c r="AX205" s="129"/>
      <c r="AY205" s="129"/>
      <c r="AZ205" s="129"/>
      <c r="BA205" s="129"/>
      <c r="BB205" s="129"/>
      <c r="BC205" s="129"/>
      <c r="BD205" s="129"/>
      <c r="BE205" s="129"/>
      <c r="BF205" s="129"/>
      <c r="BG205" s="129"/>
      <c r="BH205" s="129"/>
      <c r="BI205" s="129"/>
      <c r="BJ205" s="129"/>
      <c r="BK205" s="129"/>
      <c r="BL205" s="129"/>
      <c r="BM205" s="129"/>
      <c r="BN205" s="129"/>
      <c r="BO205" s="129"/>
      <c r="BP205" s="129"/>
      <c r="BQ205" s="129"/>
      <c r="BR205" s="129"/>
      <c r="BS205" s="129"/>
      <c r="BT205" s="129"/>
      <c r="BU205" s="129"/>
      <c r="BV205" s="129"/>
      <c r="BW205" s="129"/>
      <c r="BX205" s="129"/>
      <c r="BY205" s="129"/>
      <c r="BZ205" s="129"/>
      <c r="CA205" s="129"/>
      <c r="CB205" s="129"/>
      <c r="CC205" s="129"/>
      <c r="CD205" s="129"/>
      <c r="CE205" s="129"/>
      <c r="CF205" s="129"/>
      <c r="CG205" s="129"/>
    </row>
    <row r="206" spans="1:85" ht="15.75" customHeight="1">
      <c r="A206" s="129"/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30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/>
      <c r="AQ206" s="129"/>
      <c r="AR206" s="129"/>
      <c r="AS206" s="129"/>
      <c r="AT206" s="129"/>
      <c r="AU206" s="129"/>
      <c r="AV206" s="129"/>
      <c r="AW206" s="129"/>
      <c r="AX206" s="129"/>
      <c r="AY206" s="129"/>
      <c r="AZ206" s="129"/>
      <c r="BA206" s="129"/>
      <c r="BB206" s="129"/>
      <c r="BC206" s="129"/>
      <c r="BD206" s="129"/>
      <c r="BE206" s="129"/>
      <c r="BF206" s="129"/>
      <c r="BG206" s="129"/>
      <c r="BH206" s="129"/>
      <c r="BI206" s="129"/>
      <c r="BJ206" s="129"/>
      <c r="BK206" s="129"/>
      <c r="BL206" s="129"/>
      <c r="BM206" s="129"/>
      <c r="BN206" s="129"/>
      <c r="BO206" s="129"/>
      <c r="BP206" s="129"/>
      <c r="BQ206" s="129"/>
      <c r="BR206" s="129"/>
      <c r="BS206" s="129"/>
      <c r="BT206" s="129"/>
      <c r="BU206" s="129"/>
      <c r="BV206" s="129"/>
      <c r="BW206" s="129"/>
      <c r="BX206" s="129"/>
      <c r="BY206" s="129"/>
      <c r="BZ206" s="129"/>
      <c r="CA206" s="129"/>
      <c r="CB206" s="129"/>
      <c r="CC206" s="129"/>
      <c r="CD206" s="129"/>
      <c r="CE206" s="129"/>
      <c r="CF206" s="129"/>
      <c r="CG206" s="129"/>
    </row>
    <row r="207" spans="1:85" ht="15.75" customHeight="1">
      <c r="A207" s="129"/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30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/>
      <c r="AQ207" s="129"/>
      <c r="AR207" s="129"/>
      <c r="AS207" s="129"/>
      <c r="AT207" s="129"/>
      <c r="AU207" s="129"/>
      <c r="AV207" s="129"/>
      <c r="AW207" s="129"/>
      <c r="AX207" s="129"/>
      <c r="AY207" s="129"/>
      <c r="AZ207" s="129"/>
      <c r="BA207" s="129"/>
      <c r="BB207" s="129"/>
      <c r="BC207" s="129"/>
      <c r="BD207" s="129"/>
      <c r="BE207" s="129"/>
      <c r="BF207" s="129"/>
      <c r="BG207" s="129"/>
      <c r="BH207" s="129"/>
      <c r="BI207" s="129"/>
      <c r="BJ207" s="129"/>
      <c r="BK207" s="129"/>
      <c r="BL207" s="129"/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29"/>
      <c r="BW207" s="129"/>
      <c r="BX207" s="129"/>
      <c r="BY207" s="129"/>
      <c r="BZ207" s="129"/>
      <c r="CA207" s="129"/>
      <c r="CB207" s="129"/>
      <c r="CC207" s="129"/>
      <c r="CD207" s="129"/>
      <c r="CE207" s="129"/>
      <c r="CF207" s="129"/>
      <c r="CG207" s="129"/>
    </row>
    <row r="208" spans="1:85" ht="15.75" customHeight="1">
      <c r="A208" s="129"/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30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/>
      <c r="AQ208" s="129"/>
      <c r="AR208" s="129"/>
      <c r="AS208" s="129"/>
      <c r="AT208" s="129"/>
      <c r="AU208" s="129"/>
      <c r="AV208" s="129"/>
      <c r="AW208" s="129"/>
      <c r="AX208" s="129"/>
      <c r="AY208" s="129"/>
      <c r="AZ208" s="129"/>
      <c r="BA208" s="129"/>
      <c r="BB208" s="129"/>
      <c r="BC208" s="129"/>
      <c r="BD208" s="129"/>
      <c r="BE208" s="129"/>
      <c r="BF208" s="129"/>
      <c r="BG208" s="129"/>
      <c r="BH208" s="129"/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129"/>
      <c r="BY208" s="129"/>
      <c r="BZ208" s="129"/>
      <c r="CA208" s="129"/>
      <c r="CB208" s="129"/>
      <c r="CC208" s="129"/>
      <c r="CD208" s="129"/>
      <c r="CE208" s="129"/>
      <c r="CF208" s="129"/>
      <c r="CG208" s="129"/>
    </row>
    <row r="209" spans="1:85" ht="15.75" customHeight="1">
      <c r="A209" s="129"/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30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/>
      <c r="AQ209" s="129"/>
      <c r="AR209" s="129"/>
      <c r="AS209" s="129"/>
      <c r="AT209" s="129"/>
      <c r="AU209" s="129"/>
      <c r="AV209" s="129"/>
      <c r="AW209" s="129"/>
      <c r="AX209" s="129"/>
      <c r="AY209" s="129"/>
      <c r="AZ209" s="129"/>
      <c r="BA209" s="129"/>
      <c r="BB209" s="129"/>
      <c r="BC209" s="129"/>
      <c r="BD209" s="129"/>
      <c r="BE209" s="129"/>
      <c r="BF209" s="129"/>
      <c r="BG209" s="129"/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29"/>
      <c r="BV209" s="129"/>
      <c r="BW209" s="129"/>
      <c r="BX209" s="129"/>
      <c r="BY209" s="129"/>
      <c r="BZ209" s="129"/>
      <c r="CA209" s="129"/>
      <c r="CB209" s="129"/>
      <c r="CC209" s="129"/>
      <c r="CD209" s="129"/>
      <c r="CE209" s="129"/>
      <c r="CF209" s="129"/>
      <c r="CG209" s="129"/>
    </row>
    <row r="210" spans="1:85" ht="15.75" customHeight="1">
      <c r="A210" s="129"/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30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/>
      <c r="AQ210" s="129"/>
      <c r="AR210" s="129"/>
      <c r="AS210" s="129"/>
      <c r="AT210" s="129"/>
      <c r="AU210" s="129"/>
      <c r="AV210" s="129"/>
      <c r="AW210" s="129"/>
      <c r="AX210" s="129"/>
      <c r="AY210" s="129"/>
      <c r="AZ210" s="129"/>
      <c r="BA210" s="129"/>
      <c r="BB210" s="129"/>
      <c r="BC210" s="129"/>
      <c r="BD210" s="129"/>
      <c r="BE210" s="129"/>
      <c r="BF210" s="129"/>
      <c r="BG210" s="129"/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129"/>
      <c r="BR210" s="129"/>
      <c r="BS210" s="129"/>
      <c r="BT210" s="129"/>
      <c r="BU210" s="129"/>
      <c r="BV210" s="129"/>
      <c r="BW210" s="129"/>
      <c r="BX210" s="129"/>
      <c r="BY210" s="129"/>
      <c r="BZ210" s="129"/>
      <c r="CA210" s="129"/>
      <c r="CB210" s="129"/>
      <c r="CC210" s="129"/>
      <c r="CD210" s="129"/>
      <c r="CE210" s="129"/>
      <c r="CF210" s="129"/>
      <c r="CG210" s="129"/>
    </row>
    <row r="211" spans="1:85" ht="15.75" customHeight="1">
      <c r="A211" s="129"/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30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129"/>
      <c r="AZ211" s="129"/>
      <c r="BA211" s="129"/>
      <c r="BB211" s="129"/>
      <c r="BC211" s="129"/>
      <c r="BD211" s="129"/>
      <c r="BE211" s="129"/>
      <c r="BF211" s="129"/>
      <c r="BG211" s="129"/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29"/>
      <c r="BS211" s="129"/>
      <c r="BT211" s="129"/>
      <c r="BU211" s="129"/>
      <c r="BV211" s="129"/>
      <c r="BW211" s="129"/>
      <c r="BX211" s="129"/>
      <c r="BY211" s="129"/>
      <c r="BZ211" s="129"/>
      <c r="CA211" s="129"/>
      <c r="CB211" s="129"/>
      <c r="CC211" s="129"/>
      <c r="CD211" s="129"/>
      <c r="CE211" s="129"/>
      <c r="CF211" s="129"/>
      <c r="CG211" s="129"/>
    </row>
    <row r="212" spans="1:85" ht="15.75" customHeight="1">
      <c r="A212" s="129"/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30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129"/>
      <c r="AZ212" s="129"/>
      <c r="BA212" s="129"/>
      <c r="BB212" s="129"/>
      <c r="BC212" s="129"/>
      <c r="BD212" s="129"/>
      <c r="BE212" s="129"/>
      <c r="BF212" s="129"/>
      <c r="BG212" s="129"/>
      <c r="BH212" s="129"/>
      <c r="BI212" s="129"/>
      <c r="BJ212" s="129"/>
      <c r="BK212" s="129"/>
      <c r="BL212" s="129"/>
      <c r="BM212" s="129"/>
      <c r="BN212" s="129"/>
      <c r="BO212" s="129"/>
      <c r="BP212" s="129"/>
      <c r="BQ212" s="129"/>
      <c r="BR212" s="129"/>
      <c r="BS212" s="129"/>
      <c r="BT212" s="129"/>
      <c r="BU212" s="129"/>
      <c r="BV212" s="129"/>
      <c r="BW212" s="129"/>
      <c r="BX212" s="129"/>
      <c r="BY212" s="129"/>
      <c r="BZ212" s="129"/>
      <c r="CA212" s="129"/>
      <c r="CB212" s="129"/>
      <c r="CC212" s="129"/>
      <c r="CD212" s="129"/>
      <c r="CE212" s="129"/>
      <c r="CF212" s="129"/>
      <c r="CG212" s="129"/>
    </row>
    <row r="213" spans="1:85" ht="15.75" customHeight="1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30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129"/>
      <c r="AZ213" s="129"/>
      <c r="BA213" s="129"/>
      <c r="BB213" s="129"/>
      <c r="BC213" s="129"/>
      <c r="BD213" s="129"/>
      <c r="BE213" s="129"/>
      <c r="BF213" s="129"/>
      <c r="BG213" s="129"/>
      <c r="BH213" s="129"/>
      <c r="BI213" s="129"/>
      <c r="BJ213" s="129"/>
      <c r="BK213" s="129"/>
      <c r="BL213" s="129"/>
      <c r="BM213" s="129"/>
      <c r="BN213" s="129"/>
      <c r="BO213" s="129"/>
      <c r="BP213" s="129"/>
      <c r="BQ213" s="129"/>
      <c r="BR213" s="129"/>
      <c r="BS213" s="129"/>
      <c r="BT213" s="129"/>
      <c r="BU213" s="129"/>
      <c r="BV213" s="129"/>
      <c r="BW213" s="129"/>
      <c r="BX213" s="129"/>
      <c r="BY213" s="129"/>
      <c r="BZ213" s="129"/>
      <c r="CA213" s="129"/>
      <c r="CB213" s="129"/>
      <c r="CC213" s="129"/>
      <c r="CD213" s="129"/>
      <c r="CE213" s="129"/>
      <c r="CF213" s="129"/>
      <c r="CG213" s="129"/>
    </row>
    <row r="214" spans="1:85" ht="15.75" customHeight="1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30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/>
      <c r="AQ214" s="129"/>
      <c r="AR214" s="129"/>
      <c r="AS214" s="129"/>
      <c r="AT214" s="129"/>
      <c r="AU214" s="129"/>
      <c r="AV214" s="129"/>
      <c r="AW214" s="129"/>
      <c r="AX214" s="129"/>
      <c r="AY214" s="129"/>
      <c r="AZ214" s="129"/>
      <c r="BA214" s="129"/>
      <c r="BB214" s="129"/>
      <c r="BC214" s="129"/>
      <c r="BD214" s="129"/>
      <c r="BE214" s="129"/>
      <c r="BF214" s="129"/>
      <c r="BG214" s="129"/>
      <c r="BH214" s="129"/>
      <c r="BI214" s="129"/>
      <c r="BJ214" s="129"/>
      <c r="BK214" s="129"/>
      <c r="BL214" s="129"/>
      <c r="BM214" s="129"/>
      <c r="BN214" s="129"/>
      <c r="BO214" s="129"/>
      <c r="BP214" s="129"/>
      <c r="BQ214" s="129"/>
      <c r="BR214" s="129"/>
      <c r="BS214" s="129"/>
      <c r="BT214" s="129"/>
      <c r="BU214" s="129"/>
      <c r="BV214" s="129"/>
      <c r="BW214" s="129"/>
      <c r="BX214" s="129"/>
      <c r="BY214" s="129"/>
      <c r="BZ214" s="129"/>
      <c r="CA214" s="129"/>
      <c r="CB214" s="129"/>
      <c r="CC214" s="129"/>
      <c r="CD214" s="129"/>
      <c r="CE214" s="129"/>
      <c r="CF214" s="129"/>
      <c r="CG214" s="129"/>
    </row>
    <row r="215" spans="1:85" ht="15.75" customHeight="1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30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/>
      <c r="AQ215" s="129"/>
      <c r="AR215" s="129"/>
      <c r="AS215" s="129"/>
      <c r="AT215" s="129"/>
      <c r="AU215" s="129"/>
      <c r="AV215" s="129"/>
      <c r="AW215" s="129"/>
      <c r="AX215" s="129"/>
      <c r="AY215" s="129"/>
      <c r="AZ215" s="129"/>
      <c r="BA215" s="129"/>
      <c r="BB215" s="129"/>
      <c r="BC215" s="129"/>
      <c r="BD215" s="129"/>
      <c r="BE215" s="129"/>
      <c r="BF215" s="129"/>
      <c r="BG215" s="129"/>
      <c r="BH215" s="129"/>
      <c r="BI215" s="129"/>
      <c r="BJ215" s="129"/>
      <c r="BK215" s="129"/>
      <c r="BL215" s="129"/>
      <c r="BM215" s="129"/>
      <c r="BN215" s="129"/>
      <c r="BO215" s="129"/>
      <c r="BP215" s="129"/>
      <c r="BQ215" s="129"/>
      <c r="BR215" s="129"/>
      <c r="BS215" s="129"/>
      <c r="BT215" s="129"/>
      <c r="BU215" s="129"/>
      <c r="BV215" s="129"/>
      <c r="BW215" s="129"/>
      <c r="BX215" s="129"/>
      <c r="BY215" s="129"/>
      <c r="BZ215" s="129"/>
      <c r="CA215" s="129"/>
      <c r="CB215" s="129"/>
      <c r="CC215" s="129"/>
      <c r="CD215" s="129"/>
      <c r="CE215" s="129"/>
      <c r="CF215" s="129"/>
      <c r="CG215" s="129"/>
    </row>
    <row r="216" spans="1:85" ht="15.75" customHeight="1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30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/>
      <c r="AQ216" s="129"/>
      <c r="AR216" s="129"/>
      <c r="AS216" s="129"/>
      <c r="AT216" s="129"/>
      <c r="AU216" s="129"/>
      <c r="AV216" s="129"/>
      <c r="AW216" s="129"/>
      <c r="AX216" s="129"/>
      <c r="AY216" s="129"/>
      <c r="AZ216" s="129"/>
      <c r="BA216" s="129"/>
      <c r="BB216" s="129"/>
      <c r="BC216" s="129"/>
      <c r="BD216" s="129"/>
      <c r="BE216" s="129"/>
      <c r="BF216" s="129"/>
      <c r="BG216" s="129"/>
      <c r="BH216" s="129"/>
      <c r="BI216" s="129"/>
      <c r="BJ216" s="129"/>
      <c r="BK216" s="129"/>
      <c r="BL216" s="129"/>
      <c r="BM216" s="129"/>
      <c r="BN216" s="129"/>
      <c r="BO216" s="129"/>
      <c r="BP216" s="129"/>
      <c r="BQ216" s="129"/>
      <c r="BR216" s="129"/>
      <c r="BS216" s="129"/>
      <c r="BT216" s="129"/>
      <c r="BU216" s="129"/>
      <c r="BV216" s="129"/>
      <c r="BW216" s="129"/>
      <c r="BX216" s="129"/>
      <c r="BY216" s="129"/>
      <c r="BZ216" s="129"/>
      <c r="CA216" s="129"/>
      <c r="CB216" s="129"/>
      <c r="CC216" s="129"/>
      <c r="CD216" s="129"/>
      <c r="CE216" s="129"/>
      <c r="CF216" s="129"/>
      <c r="CG216" s="129"/>
    </row>
    <row r="217" spans="1:85" ht="15.75" customHeight="1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30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/>
      <c r="AQ217" s="129"/>
      <c r="AR217" s="129"/>
      <c r="AS217" s="129"/>
      <c r="AT217" s="129"/>
      <c r="AU217" s="129"/>
      <c r="AV217" s="129"/>
      <c r="AW217" s="129"/>
      <c r="AX217" s="129"/>
      <c r="AY217" s="129"/>
      <c r="AZ217" s="129"/>
      <c r="BA217" s="129"/>
      <c r="BB217" s="129"/>
      <c r="BC217" s="129"/>
      <c r="BD217" s="129"/>
      <c r="BE217" s="129"/>
      <c r="BF217" s="129"/>
      <c r="BG217" s="129"/>
      <c r="BH217" s="129"/>
      <c r="BI217" s="129"/>
      <c r="BJ217" s="129"/>
      <c r="BK217" s="129"/>
      <c r="BL217" s="129"/>
      <c r="BM217" s="129"/>
      <c r="BN217" s="129"/>
      <c r="BO217" s="129"/>
      <c r="BP217" s="129"/>
      <c r="BQ217" s="129"/>
      <c r="BR217" s="129"/>
      <c r="BS217" s="129"/>
      <c r="BT217" s="129"/>
      <c r="BU217" s="129"/>
      <c r="BV217" s="129"/>
      <c r="BW217" s="129"/>
      <c r="BX217" s="129"/>
      <c r="BY217" s="129"/>
      <c r="BZ217" s="129"/>
      <c r="CA217" s="129"/>
      <c r="CB217" s="129"/>
      <c r="CC217" s="129"/>
      <c r="CD217" s="129"/>
      <c r="CE217" s="129"/>
      <c r="CF217" s="129"/>
      <c r="CG217" s="129"/>
    </row>
    <row r="218" spans="1:85" ht="15.75" customHeight="1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30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/>
      <c r="AQ218" s="129"/>
      <c r="AR218" s="129"/>
      <c r="AS218" s="129"/>
      <c r="AT218" s="129"/>
      <c r="AU218" s="129"/>
      <c r="AV218" s="129"/>
      <c r="AW218" s="129"/>
      <c r="AX218" s="129"/>
      <c r="AY218" s="129"/>
      <c r="AZ218" s="129"/>
      <c r="BA218" s="129"/>
      <c r="BB218" s="129"/>
      <c r="BC218" s="129"/>
      <c r="BD218" s="129"/>
      <c r="BE218" s="129"/>
      <c r="BF218" s="129"/>
      <c r="BG218" s="129"/>
      <c r="BH218" s="129"/>
      <c r="BI218" s="129"/>
      <c r="BJ218" s="129"/>
      <c r="BK218" s="129"/>
      <c r="BL218" s="129"/>
      <c r="BM218" s="129"/>
      <c r="BN218" s="129"/>
      <c r="BO218" s="129"/>
      <c r="BP218" s="129"/>
      <c r="BQ218" s="129"/>
      <c r="BR218" s="129"/>
      <c r="BS218" s="129"/>
      <c r="BT218" s="129"/>
      <c r="BU218" s="129"/>
      <c r="BV218" s="129"/>
      <c r="BW218" s="129"/>
      <c r="BX218" s="129"/>
      <c r="BY218" s="129"/>
      <c r="BZ218" s="129"/>
      <c r="CA218" s="129"/>
      <c r="CB218" s="129"/>
      <c r="CC218" s="129"/>
      <c r="CD218" s="129"/>
      <c r="CE218" s="129"/>
      <c r="CF218" s="129"/>
      <c r="CG218" s="129"/>
    </row>
    <row r="219" spans="1:85" ht="15.75" customHeight="1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30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/>
      <c r="AQ219" s="129"/>
      <c r="AR219" s="129"/>
      <c r="AS219" s="129"/>
      <c r="AT219" s="129"/>
      <c r="AU219" s="129"/>
      <c r="AV219" s="129"/>
      <c r="AW219" s="129"/>
      <c r="AX219" s="129"/>
      <c r="AY219" s="129"/>
      <c r="AZ219" s="129"/>
      <c r="BA219" s="129"/>
      <c r="BB219" s="129"/>
      <c r="BC219" s="129"/>
      <c r="BD219" s="129"/>
      <c r="BE219" s="129"/>
      <c r="BF219" s="129"/>
      <c r="BG219" s="129"/>
      <c r="BH219" s="129"/>
      <c r="BI219" s="129"/>
      <c r="BJ219" s="129"/>
      <c r="BK219" s="129"/>
      <c r="BL219" s="129"/>
      <c r="BM219" s="129"/>
      <c r="BN219" s="129"/>
      <c r="BO219" s="129"/>
      <c r="BP219" s="129"/>
      <c r="BQ219" s="129"/>
      <c r="BR219" s="129"/>
      <c r="BS219" s="129"/>
      <c r="BT219" s="129"/>
      <c r="BU219" s="129"/>
      <c r="BV219" s="129"/>
      <c r="BW219" s="129"/>
      <c r="BX219" s="129"/>
      <c r="BY219" s="129"/>
      <c r="BZ219" s="129"/>
      <c r="CA219" s="129"/>
      <c r="CB219" s="129"/>
      <c r="CC219" s="129"/>
      <c r="CD219" s="129"/>
      <c r="CE219" s="129"/>
      <c r="CF219" s="129"/>
      <c r="CG219" s="129"/>
    </row>
    <row r="220" spans="1:85" ht="15.75" customHeight="1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30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/>
      <c r="AQ220" s="129"/>
      <c r="AR220" s="129"/>
      <c r="AS220" s="129"/>
      <c r="AT220" s="129"/>
      <c r="AU220" s="129"/>
      <c r="AV220" s="129"/>
      <c r="AW220" s="129"/>
      <c r="AX220" s="129"/>
      <c r="AY220" s="129"/>
      <c r="AZ220" s="129"/>
      <c r="BA220" s="129"/>
      <c r="BB220" s="129"/>
      <c r="BC220" s="129"/>
      <c r="BD220" s="129"/>
      <c r="BE220" s="129"/>
      <c r="BF220" s="129"/>
      <c r="BG220" s="129"/>
      <c r="BH220" s="129"/>
      <c r="BI220" s="129"/>
      <c r="BJ220" s="129"/>
      <c r="BK220" s="129"/>
      <c r="BL220" s="129"/>
      <c r="BM220" s="129"/>
      <c r="BN220" s="129"/>
      <c r="BO220" s="129"/>
      <c r="BP220" s="129"/>
      <c r="BQ220" s="129"/>
      <c r="BR220" s="129"/>
      <c r="BS220" s="129"/>
      <c r="BT220" s="129"/>
      <c r="BU220" s="129"/>
      <c r="BV220" s="129"/>
      <c r="BW220" s="129"/>
      <c r="BX220" s="129"/>
      <c r="BY220" s="129"/>
      <c r="BZ220" s="129"/>
      <c r="CA220" s="129"/>
      <c r="CB220" s="129"/>
      <c r="CC220" s="129"/>
      <c r="CD220" s="129"/>
      <c r="CE220" s="129"/>
      <c r="CF220" s="129"/>
      <c r="CG220" s="129"/>
    </row>
    <row r="221" spans="1:85" ht="15.75" customHeight="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30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/>
      <c r="AQ221" s="129"/>
      <c r="AR221" s="129"/>
      <c r="AS221" s="129"/>
      <c r="AT221" s="129"/>
      <c r="AU221" s="129"/>
      <c r="AV221" s="129"/>
      <c r="AW221" s="129"/>
      <c r="AX221" s="129"/>
      <c r="AY221" s="129"/>
      <c r="AZ221" s="129"/>
      <c r="BA221" s="129"/>
      <c r="BB221" s="129"/>
      <c r="BC221" s="129"/>
      <c r="BD221" s="129"/>
      <c r="BE221" s="129"/>
      <c r="BF221" s="129"/>
      <c r="BG221" s="129"/>
      <c r="BH221" s="129"/>
      <c r="BI221" s="129"/>
      <c r="BJ221" s="129"/>
      <c r="BK221" s="129"/>
      <c r="BL221" s="129"/>
      <c r="BM221" s="129"/>
      <c r="BN221" s="129"/>
      <c r="BO221" s="129"/>
      <c r="BP221" s="129"/>
      <c r="BQ221" s="129"/>
      <c r="BR221" s="129"/>
      <c r="BS221" s="129"/>
      <c r="BT221" s="129"/>
      <c r="BU221" s="129"/>
      <c r="BV221" s="129"/>
      <c r="BW221" s="129"/>
      <c r="BX221" s="129"/>
      <c r="BY221" s="129"/>
      <c r="BZ221" s="129"/>
      <c r="CA221" s="129"/>
      <c r="CB221" s="129"/>
      <c r="CC221" s="129"/>
      <c r="CD221" s="129"/>
      <c r="CE221" s="129"/>
      <c r="CF221" s="129"/>
      <c r="CG221" s="129"/>
    </row>
    <row r="222" spans="1:85" ht="15.75" customHeight="1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30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/>
      <c r="AQ222" s="129"/>
      <c r="AR222" s="129"/>
      <c r="AS222" s="129"/>
      <c r="AT222" s="129"/>
      <c r="AU222" s="129"/>
      <c r="AV222" s="129"/>
      <c r="AW222" s="129"/>
      <c r="AX222" s="129"/>
      <c r="AY222" s="129"/>
      <c r="AZ222" s="129"/>
      <c r="BA222" s="129"/>
      <c r="BB222" s="129"/>
      <c r="BC222" s="129"/>
      <c r="BD222" s="129"/>
      <c r="BE222" s="129"/>
      <c r="BF222" s="129"/>
      <c r="BG222" s="129"/>
      <c r="BH222" s="129"/>
      <c r="BI222" s="129"/>
      <c r="BJ222" s="129"/>
      <c r="BK222" s="129"/>
      <c r="BL222" s="129"/>
      <c r="BM222" s="129"/>
      <c r="BN222" s="129"/>
      <c r="BO222" s="129"/>
      <c r="BP222" s="129"/>
      <c r="BQ222" s="129"/>
      <c r="BR222" s="129"/>
      <c r="BS222" s="129"/>
      <c r="BT222" s="129"/>
      <c r="BU222" s="129"/>
      <c r="BV222" s="129"/>
      <c r="BW222" s="129"/>
      <c r="BX222" s="129"/>
      <c r="BY222" s="129"/>
      <c r="BZ222" s="129"/>
      <c r="CA222" s="129"/>
      <c r="CB222" s="129"/>
      <c r="CC222" s="129"/>
      <c r="CD222" s="129"/>
      <c r="CE222" s="129"/>
      <c r="CF222" s="129"/>
      <c r="CG222" s="129"/>
    </row>
    <row r="223" spans="1:85" ht="15.75" customHeight="1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30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/>
      <c r="AQ223" s="129"/>
      <c r="AR223" s="129"/>
      <c r="AS223" s="129"/>
      <c r="AT223" s="129"/>
      <c r="AU223" s="129"/>
      <c r="AV223" s="129"/>
      <c r="AW223" s="129"/>
      <c r="AX223" s="129"/>
      <c r="AY223" s="129"/>
      <c r="AZ223" s="129"/>
      <c r="BA223" s="129"/>
      <c r="BB223" s="129"/>
      <c r="BC223" s="129"/>
      <c r="BD223" s="129"/>
      <c r="BE223" s="129"/>
      <c r="BF223" s="129"/>
      <c r="BG223" s="129"/>
      <c r="BH223" s="129"/>
      <c r="BI223" s="129"/>
      <c r="BJ223" s="129"/>
      <c r="BK223" s="129"/>
      <c r="BL223" s="129"/>
      <c r="BM223" s="129"/>
      <c r="BN223" s="129"/>
      <c r="BO223" s="129"/>
      <c r="BP223" s="129"/>
      <c r="BQ223" s="129"/>
      <c r="BR223" s="129"/>
      <c r="BS223" s="129"/>
      <c r="BT223" s="129"/>
      <c r="BU223" s="129"/>
      <c r="BV223" s="129"/>
      <c r="BW223" s="129"/>
      <c r="BX223" s="129"/>
      <c r="BY223" s="129"/>
      <c r="BZ223" s="129"/>
      <c r="CA223" s="129"/>
      <c r="CB223" s="129"/>
      <c r="CC223" s="129"/>
      <c r="CD223" s="129"/>
      <c r="CE223" s="129"/>
      <c r="CF223" s="129"/>
      <c r="CG223" s="129"/>
    </row>
    <row r="224" spans="1:85" ht="15.75" customHeight="1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30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/>
      <c r="AQ224" s="129"/>
      <c r="AR224" s="129"/>
      <c r="AS224" s="129"/>
      <c r="AT224" s="129"/>
      <c r="AU224" s="129"/>
      <c r="AV224" s="129"/>
      <c r="AW224" s="129"/>
      <c r="AX224" s="129"/>
      <c r="AY224" s="129"/>
      <c r="AZ224" s="129"/>
      <c r="BA224" s="129"/>
      <c r="BB224" s="129"/>
      <c r="BC224" s="129"/>
      <c r="BD224" s="129"/>
      <c r="BE224" s="129"/>
      <c r="BF224" s="129"/>
      <c r="BG224" s="129"/>
      <c r="BH224" s="129"/>
      <c r="BI224" s="129"/>
      <c r="BJ224" s="129"/>
      <c r="BK224" s="129"/>
      <c r="BL224" s="129"/>
      <c r="BM224" s="129"/>
      <c r="BN224" s="129"/>
      <c r="BO224" s="129"/>
      <c r="BP224" s="129"/>
      <c r="BQ224" s="129"/>
      <c r="BR224" s="129"/>
      <c r="BS224" s="129"/>
      <c r="BT224" s="129"/>
      <c r="BU224" s="129"/>
      <c r="BV224" s="129"/>
      <c r="BW224" s="129"/>
      <c r="BX224" s="129"/>
      <c r="BY224" s="129"/>
      <c r="BZ224" s="129"/>
      <c r="CA224" s="129"/>
      <c r="CB224" s="129"/>
      <c r="CC224" s="129"/>
      <c r="CD224" s="129"/>
      <c r="CE224" s="129"/>
      <c r="CF224" s="129"/>
      <c r="CG224" s="129"/>
    </row>
    <row r="225" spans="1:85" ht="15.75" customHeight="1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30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/>
      <c r="AQ225" s="129"/>
      <c r="AR225" s="129"/>
      <c r="AS225" s="129"/>
      <c r="AT225" s="129"/>
      <c r="AU225" s="129"/>
      <c r="AV225" s="129"/>
      <c r="AW225" s="129"/>
      <c r="AX225" s="129"/>
      <c r="AY225" s="129"/>
      <c r="AZ225" s="129"/>
      <c r="BA225" s="129"/>
      <c r="BB225" s="129"/>
      <c r="BC225" s="129"/>
      <c r="BD225" s="129"/>
      <c r="BE225" s="129"/>
      <c r="BF225" s="129"/>
      <c r="BG225" s="129"/>
      <c r="BH225" s="129"/>
      <c r="BI225" s="129"/>
      <c r="BJ225" s="129"/>
      <c r="BK225" s="129"/>
      <c r="BL225" s="129"/>
      <c r="BM225" s="129"/>
      <c r="BN225" s="129"/>
      <c r="BO225" s="129"/>
      <c r="BP225" s="129"/>
      <c r="BQ225" s="129"/>
      <c r="BR225" s="129"/>
      <c r="BS225" s="129"/>
      <c r="BT225" s="129"/>
      <c r="BU225" s="129"/>
      <c r="BV225" s="129"/>
      <c r="BW225" s="129"/>
      <c r="BX225" s="129"/>
      <c r="BY225" s="129"/>
      <c r="BZ225" s="129"/>
      <c r="CA225" s="129"/>
      <c r="CB225" s="129"/>
      <c r="CC225" s="129"/>
      <c r="CD225" s="129"/>
      <c r="CE225" s="129"/>
      <c r="CF225" s="129"/>
      <c r="CG225" s="129"/>
    </row>
    <row r="226" spans="1:85" ht="15.75" customHeight="1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30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/>
      <c r="AQ226" s="129"/>
      <c r="AR226" s="129"/>
      <c r="AS226" s="129"/>
      <c r="AT226" s="129"/>
      <c r="AU226" s="129"/>
      <c r="AV226" s="129"/>
      <c r="AW226" s="129"/>
      <c r="AX226" s="129"/>
      <c r="AY226" s="129"/>
      <c r="AZ226" s="129"/>
      <c r="BA226" s="129"/>
      <c r="BB226" s="129"/>
      <c r="BC226" s="129"/>
      <c r="BD226" s="129"/>
      <c r="BE226" s="129"/>
      <c r="BF226" s="129"/>
      <c r="BG226" s="129"/>
      <c r="BH226" s="129"/>
      <c r="BI226" s="129"/>
      <c r="BJ226" s="129"/>
      <c r="BK226" s="129"/>
      <c r="BL226" s="129"/>
      <c r="BM226" s="129"/>
      <c r="BN226" s="129"/>
      <c r="BO226" s="129"/>
      <c r="BP226" s="129"/>
      <c r="BQ226" s="129"/>
      <c r="BR226" s="129"/>
      <c r="BS226" s="129"/>
      <c r="BT226" s="129"/>
      <c r="BU226" s="129"/>
      <c r="BV226" s="129"/>
      <c r="BW226" s="129"/>
      <c r="BX226" s="129"/>
      <c r="BY226" s="129"/>
      <c r="BZ226" s="129"/>
      <c r="CA226" s="129"/>
      <c r="CB226" s="129"/>
      <c r="CC226" s="129"/>
      <c r="CD226" s="129"/>
      <c r="CE226" s="129"/>
      <c r="CF226" s="129"/>
      <c r="CG226" s="129"/>
    </row>
    <row r="227" spans="1:85" ht="15.75" customHeight="1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30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/>
      <c r="AQ227" s="129"/>
      <c r="AR227" s="129"/>
      <c r="AS227" s="129"/>
      <c r="AT227" s="129"/>
      <c r="AU227" s="129"/>
      <c r="AV227" s="129"/>
      <c r="AW227" s="129"/>
      <c r="AX227" s="129"/>
      <c r="AY227" s="129"/>
      <c r="AZ227" s="129"/>
      <c r="BA227" s="129"/>
      <c r="BB227" s="129"/>
      <c r="BC227" s="129"/>
      <c r="BD227" s="129"/>
      <c r="BE227" s="129"/>
      <c r="BF227" s="129"/>
      <c r="BG227" s="129"/>
      <c r="BH227" s="129"/>
      <c r="BI227" s="129"/>
      <c r="BJ227" s="129"/>
      <c r="BK227" s="129"/>
      <c r="BL227" s="129"/>
      <c r="BM227" s="129"/>
      <c r="BN227" s="129"/>
      <c r="BO227" s="129"/>
      <c r="BP227" s="129"/>
      <c r="BQ227" s="129"/>
      <c r="BR227" s="129"/>
      <c r="BS227" s="129"/>
      <c r="BT227" s="129"/>
      <c r="BU227" s="129"/>
      <c r="BV227" s="129"/>
      <c r="BW227" s="129"/>
      <c r="BX227" s="129"/>
      <c r="BY227" s="129"/>
      <c r="BZ227" s="129"/>
      <c r="CA227" s="129"/>
      <c r="CB227" s="129"/>
      <c r="CC227" s="129"/>
      <c r="CD227" s="129"/>
      <c r="CE227" s="129"/>
      <c r="CF227" s="129"/>
      <c r="CG227" s="129"/>
    </row>
    <row r="228" spans="1:85" ht="15.75" customHeight="1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30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129"/>
      <c r="AZ228" s="129"/>
      <c r="BA228" s="129"/>
      <c r="BB228" s="129"/>
      <c r="BC228" s="129"/>
      <c r="BD228" s="129"/>
      <c r="BE228" s="129"/>
      <c r="BF228" s="129"/>
      <c r="BG228" s="129"/>
      <c r="BH228" s="129"/>
      <c r="BI228" s="129"/>
      <c r="BJ228" s="129"/>
      <c r="BK228" s="129"/>
      <c r="BL228" s="129"/>
      <c r="BM228" s="129"/>
      <c r="BN228" s="129"/>
      <c r="BO228" s="129"/>
      <c r="BP228" s="129"/>
      <c r="BQ228" s="129"/>
      <c r="BR228" s="129"/>
      <c r="BS228" s="129"/>
      <c r="BT228" s="129"/>
      <c r="BU228" s="129"/>
      <c r="BV228" s="129"/>
      <c r="BW228" s="129"/>
      <c r="BX228" s="129"/>
      <c r="BY228" s="129"/>
      <c r="BZ228" s="129"/>
      <c r="CA228" s="129"/>
      <c r="CB228" s="129"/>
      <c r="CC228" s="129"/>
      <c r="CD228" s="129"/>
      <c r="CE228" s="129"/>
      <c r="CF228" s="129"/>
      <c r="CG228" s="129"/>
    </row>
    <row r="229" spans="1:85" ht="15.75" customHeight="1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30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129"/>
      <c r="AZ229" s="129"/>
      <c r="BA229" s="129"/>
      <c r="BB229" s="129"/>
      <c r="BC229" s="129"/>
      <c r="BD229" s="129"/>
      <c r="BE229" s="129"/>
      <c r="BF229" s="129"/>
      <c r="BG229" s="129"/>
      <c r="BH229" s="129"/>
      <c r="BI229" s="129"/>
      <c r="BJ229" s="129"/>
      <c r="BK229" s="129"/>
      <c r="BL229" s="129"/>
      <c r="BM229" s="129"/>
      <c r="BN229" s="129"/>
      <c r="BO229" s="129"/>
      <c r="BP229" s="129"/>
      <c r="BQ229" s="129"/>
      <c r="BR229" s="129"/>
      <c r="BS229" s="129"/>
      <c r="BT229" s="129"/>
      <c r="BU229" s="129"/>
      <c r="BV229" s="129"/>
      <c r="BW229" s="129"/>
      <c r="BX229" s="129"/>
      <c r="BY229" s="129"/>
      <c r="BZ229" s="129"/>
      <c r="CA229" s="129"/>
      <c r="CB229" s="129"/>
      <c r="CC229" s="129"/>
      <c r="CD229" s="129"/>
      <c r="CE229" s="129"/>
      <c r="CF229" s="129"/>
      <c r="CG229" s="129"/>
    </row>
    <row r="230" spans="1:85" ht="15.75" customHeight="1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30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129"/>
      <c r="AZ230" s="129"/>
      <c r="BA230" s="129"/>
      <c r="BB230" s="129"/>
      <c r="BC230" s="129"/>
      <c r="BD230" s="129"/>
      <c r="BE230" s="129"/>
      <c r="BF230" s="129"/>
      <c r="BG230" s="129"/>
      <c r="BH230" s="129"/>
      <c r="BI230" s="129"/>
      <c r="BJ230" s="129"/>
      <c r="BK230" s="129"/>
      <c r="BL230" s="129"/>
      <c r="BM230" s="129"/>
      <c r="BN230" s="129"/>
      <c r="BO230" s="129"/>
      <c r="BP230" s="129"/>
      <c r="BQ230" s="129"/>
      <c r="BR230" s="129"/>
      <c r="BS230" s="129"/>
      <c r="BT230" s="129"/>
      <c r="BU230" s="129"/>
      <c r="BV230" s="129"/>
      <c r="BW230" s="129"/>
      <c r="BX230" s="129"/>
      <c r="BY230" s="129"/>
      <c r="BZ230" s="129"/>
      <c r="CA230" s="129"/>
      <c r="CB230" s="129"/>
      <c r="CC230" s="129"/>
      <c r="CD230" s="129"/>
      <c r="CE230" s="129"/>
      <c r="CF230" s="129"/>
      <c r="CG230" s="129"/>
    </row>
    <row r="231" spans="1:85" ht="15.75" customHeight="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30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  <c r="AN231" s="129"/>
      <c r="AO231" s="129"/>
      <c r="AP231" s="129"/>
      <c r="AQ231" s="129"/>
      <c r="AR231" s="129"/>
      <c r="AS231" s="129"/>
      <c r="AT231" s="129"/>
      <c r="AU231" s="129"/>
      <c r="AV231" s="129"/>
      <c r="AW231" s="129"/>
      <c r="AX231" s="129"/>
      <c r="AY231" s="129"/>
      <c r="AZ231" s="129"/>
      <c r="BA231" s="129"/>
      <c r="BB231" s="129"/>
      <c r="BC231" s="129"/>
      <c r="BD231" s="129"/>
      <c r="BE231" s="129"/>
      <c r="BF231" s="129"/>
      <c r="BG231" s="129"/>
      <c r="BH231" s="129"/>
      <c r="BI231" s="129"/>
      <c r="BJ231" s="129"/>
      <c r="BK231" s="129"/>
      <c r="BL231" s="129"/>
      <c r="BM231" s="129"/>
      <c r="BN231" s="129"/>
      <c r="BO231" s="129"/>
      <c r="BP231" s="129"/>
      <c r="BQ231" s="129"/>
      <c r="BR231" s="129"/>
      <c r="BS231" s="129"/>
      <c r="BT231" s="129"/>
      <c r="BU231" s="129"/>
      <c r="BV231" s="129"/>
      <c r="BW231" s="129"/>
      <c r="BX231" s="129"/>
      <c r="BY231" s="129"/>
      <c r="BZ231" s="129"/>
      <c r="CA231" s="129"/>
      <c r="CB231" s="129"/>
      <c r="CC231" s="129"/>
      <c r="CD231" s="129"/>
      <c r="CE231" s="129"/>
      <c r="CF231" s="129"/>
      <c r="CG231" s="129"/>
    </row>
    <row r="232" spans="1:85" ht="15.75" customHeight="1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30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129"/>
      <c r="BE232" s="129"/>
      <c r="BF232" s="129"/>
      <c r="BG232" s="129"/>
      <c r="BH232" s="129"/>
      <c r="BI232" s="129"/>
      <c r="BJ232" s="129"/>
      <c r="BK232" s="129"/>
      <c r="BL232" s="129"/>
      <c r="BM232" s="129"/>
      <c r="BN232" s="129"/>
      <c r="BO232" s="129"/>
      <c r="BP232" s="129"/>
      <c r="BQ232" s="129"/>
      <c r="BR232" s="129"/>
      <c r="BS232" s="129"/>
      <c r="BT232" s="129"/>
      <c r="BU232" s="129"/>
      <c r="BV232" s="129"/>
      <c r="BW232" s="129"/>
      <c r="BX232" s="129"/>
      <c r="BY232" s="129"/>
      <c r="BZ232" s="129"/>
      <c r="CA232" s="129"/>
      <c r="CB232" s="129"/>
      <c r="CC232" s="129"/>
      <c r="CD232" s="129"/>
      <c r="CE232" s="129"/>
      <c r="CF232" s="129"/>
      <c r="CG232" s="129"/>
    </row>
    <row r="233" spans="1:85" ht="15.75" customHeight="1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30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129"/>
      <c r="BE233" s="129"/>
      <c r="BF233" s="129"/>
      <c r="BG233" s="129"/>
      <c r="BH233" s="129"/>
      <c r="BI233" s="129"/>
      <c r="BJ233" s="129"/>
      <c r="BK233" s="129"/>
      <c r="BL233" s="129"/>
      <c r="BM233" s="129"/>
      <c r="BN233" s="129"/>
      <c r="BO233" s="129"/>
      <c r="BP233" s="129"/>
      <c r="BQ233" s="129"/>
      <c r="BR233" s="129"/>
      <c r="BS233" s="129"/>
      <c r="BT233" s="129"/>
      <c r="BU233" s="129"/>
      <c r="BV233" s="129"/>
      <c r="BW233" s="129"/>
      <c r="BX233" s="129"/>
      <c r="BY233" s="129"/>
      <c r="BZ233" s="129"/>
      <c r="CA233" s="129"/>
      <c r="CB233" s="129"/>
      <c r="CC233" s="129"/>
      <c r="CD233" s="129"/>
      <c r="CE233" s="129"/>
      <c r="CF233" s="129"/>
      <c r="CG233" s="129"/>
    </row>
    <row r="234" spans="1:85" ht="15.75" customHeight="1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30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129"/>
      <c r="BE234" s="129"/>
      <c r="BF234" s="129"/>
      <c r="BG234" s="129"/>
      <c r="BH234" s="129"/>
      <c r="BI234" s="129"/>
      <c r="BJ234" s="129"/>
      <c r="BK234" s="129"/>
      <c r="BL234" s="129"/>
      <c r="BM234" s="129"/>
      <c r="BN234" s="129"/>
      <c r="BO234" s="129"/>
      <c r="BP234" s="129"/>
      <c r="BQ234" s="129"/>
      <c r="BR234" s="129"/>
      <c r="BS234" s="129"/>
      <c r="BT234" s="129"/>
      <c r="BU234" s="129"/>
      <c r="BV234" s="129"/>
      <c r="BW234" s="129"/>
      <c r="BX234" s="129"/>
      <c r="BY234" s="129"/>
      <c r="BZ234" s="129"/>
      <c r="CA234" s="129"/>
      <c r="CB234" s="129"/>
      <c r="CC234" s="129"/>
      <c r="CD234" s="129"/>
      <c r="CE234" s="129"/>
      <c r="CF234" s="129"/>
      <c r="CG234" s="129"/>
    </row>
    <row r="235" spans="1:85" ht="15.75" customHeight="1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30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129"/>
      <c r="BE235" s="129"/>
      <c r="BF235" s="129"/>
      <c r="BG235" s="129"/>
      <c r="BH235" s="129"/>
      <c r="BI235" s="129"/>
      <c r="BJ235" s="129"/>
      <c r="BK235" s="129"/>
      <c r="BL235" s="129"/>
      <c r="BM235" s="129"/>
      <c r="BN235" s="129"/>
      <c r="BO235" s="129"/>
      <c r="BP235" s="129"/>
      <c r="BQ235" s="129"/>
      <c r="BR235" s="129"/>
      <c r="BS235" s="129"/>
      <c r="BT235" s="129"/>
      <c r="BU235" s="129"/>
      <c r="BV235" s="129"/>
      <c r="BW235" s="129"/>
      <c r="BX235" s="129"/>
      <c r="BY235" s="129"/>
      <c r="BZ235" s="129"/>
      <c r="CA235" s="129"/>
      <c r="CB235" s="129"/>
      <c r="CC235" s="129"/>
      <c r="CD235" s="129"/>
      <c r="CE235" s="129"/>
      <c r="CF235" s="129"/>
      <c r="CG235" s="129"/>
    </row>
    <row r="236" spans="1:85" ht="15.75" customHeight="1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30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129"/>
      <c r="BE236" s="129"/>
      <c r="BF236" s="129"/>
      <c r="BG236" s="129"/>
      <c r="BH236" s="129"/>
      <c r="BI236" s="129"/>
      <c r="BJ236" s="129"/>
      <c r="BK236" s="129"/>
      <c r="BL236" s="129"/>
      <c r="BM236" s="129"/>
      <c r="BN236" s="129"/>
      <c r="BO236" s="129"/>
      <c r="BP236" s="129"/>
      <c r="BQ236" s="129"/>
      <c r="BR236" s="129"/>
      <c r="BS236" s="129"/>
      <c r="BT236" s="129"/>
      <c r="BU236" s="129"/>
      <c r="BV236" s="129"/>
      <c r="BW236" s="129"/>
      <c r="BX236" s="129"/>
      <c r="BY236" s="129"/>
      <c r="BZ236" s="129"/>
      <c r="CA236" s="129"/>
      <c r="CB236" s="129"/>
      <c r="CC236" s="129"/>
      <c r="CD236" s="129"/>
      <c r="CE236" s="129"/>
      <c r="CF236" s="129"/>
      <c r="CG236" s="129"/>
    </row>
    <row r="237" spans="1:85" ht="15.75" customHeight="1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30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129"/>
      <c r="BE237" s="129"/>
      <c r="BF237" s="129"/>
      <c r="BG237" s="129"/>
      <c r="BH237" s="129"/>
      <c r="BI237" s="129"/>
      <c r="BJ237" s="129"/>
      <c r="BK237" s="129"/>
      <c r="BL237" s="129"/>
      <c r="BM237" s="129"/>
      <c r="BN237" s="129"/>
      <c r="BO237" s="129"/>
      <c r="BP237" s="129"/>
      <c r="BQ237" s="129"/>
      <c r="BR237" s="129"/>
      <c r="BS237" s="129"/>
      <c r="BT237" s="129"/>
      <c r="BU237" s="129"/>
      <c r="BV237" s="129"/>
      <c r="BW237" s="129"/>
      <c r="BX237" s="129"/>
      <c r="BY237" s="129"/>
      <c r="BZ237" s="129"/>
      <c r="CA237" s="129"/>
      <c r="CB237" s="129"/>
      <c r="CC237" s="129"/>
      <c r="CD237" s="129"/>
      <c r="CE237" s="129"/>
      <c r="CF237" s="129"/>
      <c r="CG237" s="129"/>
    </row>
    <row r="238" spans="1:85" ht="15.75" customHeight="1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30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129"/>
      <c r="BE238" s="129"/>
      <c r="BF238" s="129"/>
      <c r="BG238" s="129"/>
      <c r="BH238" s="129"/>
      <c r="BI238" s="129"/>
      <c r="BJ238" s="129"/>
      <c r="BK238" s="129"/>
      <c r="BL238" s="129"/>
      <c r="BM238" s="129"/>
      <c r="BN238" s="129"/>
      <c r="BO238" s="129"/>
      <c r="BP238" s="129"/>
      <c r="BQ238" s="129"/>
      <c r="BR238" s="129"/>
      <c r="BS238" s="129"/>
      <c r="BT238" s="129"/>
      <c r="BU238" s="129"/>
      <c r="BV238" s="129"/>
      <c r="BW238" s="129"/>
      <c r="BX238" s="129"/>
      <c r="BY238" s="129"/>
      <c r="BZ238" s="129"/>
      <c r="CA238" s="129"/>
      <c r="CB238" s="129"/>
      <c r="CC238" s="129"/>
      <c r="CD238" s="129"/>
      <c r="CE238" s="129"/>
      <c r="CF238" s="129"/>
      <c r="CG238" s="129"/>
    </row>
    <row r="239" spans="1:85" ht="15.75" customHeight="1"/>
    <row r="240" spans="1:8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4:BH39" xr:uid="{00000000-0009-0000-0000-000002000000}"/>
  <mergeCells count="29">
    <mergeCell ref="BA8:BE8"/>
    <mergeCell ref="BQ8:BU8"/>
    <mergeCell ref="AJ6:AM6"/>
    <mergeCell ref="AP6:AT6"/>
    <mergeCell ref="G10:L10"/>
    <mergeCell ref="M10:R10"/>
    <mergeCell ref="H8:L8"/>
    <mergeCell ref="M8:P8"/>
    <mergeCell ref="W8:AA8"/>
    <mergeCell ref="AB8:AD8"/>
    <mergeCell ref="AP8:AT8"/>
    <mergeCell ref="H6:L6"/>
    <mergeCell ref="M6:R6"/>
    <mergeCell ref="W6:AA6"/>
    <mergeCell ref="AB6:AE6"/>
    <mergeCell ref="AF6:AH6"/>
    <mergeCell ref="BA5:BH5"/>
    <mergeCell ref="BQ5:CD5"/>
    <mergeCell ref="AU6:AW6"/>
    <mergeCell ref="BA6:BE6"/>
    <mergeCell ref="BF6:BH6"/>
    <mergeCell ref="BQ6:BU6"/>
    <mergeCell ref="BV6:BW6"/>
    <mergeCell ref="CB6:CD6"/>
    <mergeCell ref="C5:D5"/>
    <mergeCell ref="E5:F5"/>
    <mergeCell ref="G5:R5"/>
    <mergeCell ref="S5:AH5"/>
    <mergeCell ref="AP5:AV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U1000"/>
  <sheetViews>
    <sheetView workbookViewId="0">
      <pane ySplit="7" topLeftCell="A8" activePane="bottomLeft" state="frozen"/>
      <selection pane="bottomLeft" activeCell="B9" sqref="B9"/>
    </sheetView>
  </sheetViews>
  <sheetFormatPr defaultColWidth="12.6640625" defaultRowHeight="15" customHeight="1"/>
  <cols>
    <col min="1" max="1" width="18.6640625" customWidth="1"/>
    <col min="2" max="2" width="7" customWidth="1"/>
    <col min="3" max="3" width="21" customWidth="1"/>
    <col min="4" max="4" width="18.109375" customWidth="1"/>
    <col min="5" max="5" width="28.6640625" customWidth="1"/>
    <col min="6" max="6" width="22" customWidth="1"/>
    <col min="7" max="7" width="37.44140625" customWidth="1"/>
    <col min="8" max="8" width="15.44140625" customWidth="1"/>
    <col min="9" max="9" width="19" customWidth="1"/>
    <col min="10" max="10" width="23.109375" customWidth="1"/>
    <col min="11" max="11" width="18.33203125" customWidth="1"/>
    <col min="12" max="12" width="20.33203125" customWidth="1"/>
    <col min="13" max="13" width="17" customWidth="1"/>
    <col min="14" max="14" width="18" customWidth="1"/>
    <col min="15" max="15" width="17.44140625" customWidth="1"/>
    <col min="16" max="16" width="18.109375" customWidth="1"/>
    <col min="17" max="17" width="23.109375" customWidth="1"/>
    <col min="18" max="18" width="25" customWidth="1"/>
    <col min="19" max="19" width="29.33203125" customWidth="1"/>
    <col min="20" max="20" width="31.109375" customWidth="1"/>
    <col min="21" max="22" width="25.109375" customWidth="1"/>
    <col min="23" max="23" width="24.44140625" customWidth="1"/>
    <col min="24" max="24" width="20.44140625" customWidth="1"/>
    <col min="25" max="25" width="21.88671875" customWidth="1"/>
    <col min="26" max="26" width="25" customWidth="1"/>
    <col min="27" max="27" width="24.109375" customWidth="1"/>
    <col min="28" max="28" width="24.88671875" customWidth="1"/>
    <col min="29" max="29" width="24" customWidth="1"/>
    <col min="30" max="30" width="20.6640625" customWidth="1"/>
    <col min="31" max="31" width="24.109375" customWidth="1"/>
    <col min="32" max="32" width="27.88671875" customWidth="1"/>
    <col min="33" max="33" width="24.88671875" customWidth="1"/>
    <col min="34" max="34" width="32.109375" customWidth="1"/>
    <col min="35" max="35" width="33.88671875" customWidth="1"/>
    <col min="36" max="36" width="31.109375" customWidth="1"/>
    <col min="37" max="38" width="25.109375" customWidth="1"/>
    <col min="39" max="39" width="24.109375" customWidth="1"/>
    <col min="40" max="40" width="23.6640625" customWidth="1"/>
    <col min="41" max="41" width="26.33203125" customWidth="1"/>
    <col min="42" max="42" width="25" customWidth="1"/>
    <col min="43" max="43" width="25.33203125" customWidth="1"/>
    <col min="44" max="44" width="25.88671875" customWidth="1"/>
    <col min="45" max="45" width="27.109375" customWidth="1"/>
    <col min="46" max="46" width="25.88671875" customWidth="1"/>
    <col min="47" max="47" width="24.109375" customWidth="1"/>
    <col min="48" max="48" width="29.6640625" customWidth="1"/>
    <col min="49" max="49" width="24.88671875" customWidth="1"/>
    <col min="50" max="50" width="32.109375" customWidth="1"/>
    <col min="51" max="51" width="33.88671875" customWidth="1"/>
    <col min="52" max="52" width="31.109375" customWidth="1"/>
    <col min="53" max="54" width="25.109375" customWidth="1"/>
    <col min="55" max="55" width="24.109375" customWidth="1"/>
    <col min="56" max="56" width="23.6640625" customWidth="1"/>
    <col min="57" max="57" width="26.33203125" customWidth="1"/>
    <col min="58" max="58" width="25" customWidth="1"/>
    <col min="59" max="59" width="25.33203125" customWidth="1"/>
    <col min="60" max="60" width="27.88671875" customWidth="1"/>
    <col min="61" max="61" width="24.88671875" customWidth="1"/>
    <col min="62" max="62" width="36.44140625" customWidth="1"/>
    <col min="63" max="63" width="31.109375" customWidth="1"/>
    <col min="64" max="65" width="25.109375" customWidth="1"/>
    <col min="66" max="66" width="24.109375" customWidth="1"/>
    <col min="67" max="67" width="23.6640625" customWidth="1"/>
    <col min="68" max="68" width="26.33203125" customWidth="1"/>
    <col min="69" max="69" width="25" customWidth="1"/>
    <col min="70" max="70" width="25.33203125" customWidth="1"/>
    <col min="71" max="71" width="27.88671875" customWidth="1"/>
    <col min="72" max="72" width="24.88671875" customWidth="1"/>
    <col min="73" max="73" width="33.6640625" customWidth="1"/>
  </cols>
  <sheetData>
    <row r="1" spans="1:73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2"/>
      <c r="BQ1" s="2"/>
      <c r="BR1" s="2"/>
      <c r="BS1" s="2"/>
      <c r="BT1" s="2"/>
      <c r="BU1" s="4"/>
    </row>
    <row r="2" spans="1:73" ht="15.7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4"/>
      <c r="BK2" s="2"/>
      <c r="BL2" s="2"/>
      <c r="BM2" s="2"/>
      <c r="BN2" s="2"/>
      <c r="BO2" s="2"/>
      <c r="BP2" s="2"/>
      <c r="BQ2" s="2"/>
      <c r="BR2" s="2"/>
      <c r="BS2" s="2"/>
      <c r="BT2" s="2"/>
      <c r="BU2" s="4"/>
    </row>
    <row r="3" spans="1:7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4"/>
      <c r="BK3" s="2"/>
      <c r="BL3" s="2"/>
      <c r="BM3" s="2"/>
      <c r="BN3" s="2"/>
      <c r="BO3" s="2"/>
      <c r="BP3" s="2"/>
      <c r="BQ3" s="2"/>
      <c r="BR3" s="2"/>
      <c r="BS3" s="2"/>
      <c r="BT3" s="2"/>
      <c r="BU3" s="4"/>
    </row>
    <row r="4" spans="1:73" ht="15.75" customHeight="1">
      <c r="A4" s="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4"/>
      <c r="BK4" s="2"/>
      <c r="BL4" s="2"/>
      <c r="BM4" s="2"/>
      <c r="BN4" s="2"/>
      <c r="BO4" s="2"/>
      <c r="BP4" s="2"/>
      <c r="BQ4" s="2"/>
      <c r="BR4" s="2"/>
      <c r="BS4" s="2"/>
      <c r="BT4" s="2"/>
      <c r="BU4" s="4"/>
    </row>
    <row r="5" spans="1:73" ht="34.5" customHeight="1">
      <c r="A5" s="141"/>
      <c r="B5" s="142"/>
      <c r="C5" s="192" t="s">
        <v>3</v>
      </c>
      <c r="D5" s="167"/>
      <c r="E5" s="168" t="s">
        <v>467</v>
      </c>
      <c r="F5" s="170"/>
      <c r="G5" s="174" t="s">
        <v>468</v>
      </c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7"/>
      <c r="S5" s="175" t="s">
        <v>6</v>
      </c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7"/>
      <c r="AI5" s="174" t="s">
        <v>7</v>
      </c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7"/>
      <c r="AY5" s="101"/>
      <c r="AZ5" s="102"/>
      <c r="BA5" s="102"/>
      <c r="BB5" s="102"/>
      <c r="BC5" s="168" t="s">
        <v>8</v>
      </c>
      <c r="BD5" s="169"/>
      <c r="BE5" s="169"/>
      <c r="BF5" s="169"/>
      <c r="BG5" s="169"/>
      <c r="BH5" s="169"/>
      <c r="BI5" s="167"/>
      <c r="BJ5" s="143"/>
      <c r="BK5" s="103"/>
      <c r="BL5" s="103"/>
      <c r="BM5" s="103"/>
      <c r="BN5" s="166" t="s">
        <v>9</v>
      </c>
      <c r="BO5" s="169"/>
      <c r="BP5" s="169"/>
      <c r="BQ5" s="169"/>
      <c r="BR5" s="169"/>
      <c r="BS5" s="169"/>
      <c r="BT5" s="169"/>
      <c r="BU5" s="167"/>
    </row>
    <row r="6" spans="1:73" ht="54.75" customHeight="1">
      <c r="A6" s="53"/>
      <c r="B6" s="104" t="s">
        <v>10</v>
      </c>
      <c r="C6" s="107" t="s">
        <v>11</v>
      </c>
      <c r="D6" s="107" t="s">
        <v>469</v>
      </c>
      <c r="E6" s="108" t="s">
        <v>13</v>
      </c>
      <c r="F6" s="108" t="s">
        <v>14</v>
      </c>
      <c r="G6" s="109" t="s">
        <v>15</v>
      </c>
      <c r="H6" s="174" t="s">
        <v>16</v>
      </c>
      <c r="I6" s="169"/>
      <c r="J6" s="169"/>
      <c r="K6" s="169"/>
      <c r="L6" s="170"/>
      <c r="M6" s="186" t="s">
        <v>17</v>
      </c>
      <c r="N6" s="172"/>
      <c r="O6" s="172"/>
      <c r="P6" s="172"/>
      <c r="Q6" s="172"/>
      <c r="R6" s="173"/>
      <c r="S6" s="57" t="s">
        <v>470</v>
      </c>
      <c r="T6" s="57" t="s">
        <v>471</v>
      </c>
      <c r="U6" s="57" t="s">
        <v>20</v>
      </c>
      <c r="V6" s="57" t="s">
        <v>21</v>
      </c>
      <c r="W6" s="175" t="s">
        <v>22</v>
      </c>
      <c r="X6" s="169"/>
      <c r="Y6" s="169"/>
      <c r="Z6" s="169"/>
      <c r="AA6" s="170"/>
      <c r="AB6" s="175" t="s">
        <v>23</v>
      </c>
      <c r="AC6" s="169"/>
      <c r="AD6" s="169"/>
      <c r="AE6" s="170"/>
      <c r="AF6" s="176" t="s">
        <v>24</v>
      </c>
      <c r="AG6" s="172"/>
      <c r="AH6" s="173"/>
      <c r="AI6" s="110" t="s">
        <v>472</v>
      </c>
      <c r="AJ6" s="110" t="s">
        <v>471</v>
      </c>
      <c r="AK6" s="110" t="s">
        <v>20</v>
      </c>
      <c r="AL6" s="110" t="s">
        <v>21</v>
      </c>
      <c r="AM6" s="174" t="s">
        <v>22</v>
      </c>
      <c r="AN6" s="169"/>
      <c r="AO6" s="169"/>
      <c r="AP6" s="169"/>
      <c r="AQ6" s="170"/>
      <c r="AR6" s="174" t="s">
        <v>23</v>
      </c>
      <c r="AS6" s="169"/>
      <c r="AT6" s="169"/>
      <c r="AU6" s="170"/>
      <c r="AV6" s="186" t="s">
        <v>24</v>
      </c>
      <c r="AW6" s="172"/>
      <c r="AX6" s="173"/>
      <c r="AY6" s="57" t="s">
        <v>473</v>
      </c>
      <c r="AZ6" s="57" t="s">
        <v>474</v>
      </c>
      <c r="BA6" s="57" t="s">
        <v>20</v>
      </c>
      <c r="BB6" s="57" t="s">
        <v>21</v>
      </c>
      <c r="BC6" s="175" t="s">
        <v>22</v>
      </c>
      <c r="BD6" s="169"/>
      <c r="BE6" s="169"/>
      <c r="BF6" s="169"/>
      <c r="BG6" s="170"/>
      <c r="BH6" s="175" t="s">
        <v>30</v>
      </c>
      <c r="BI6" s="169"/>
      <c r="BJ6" s="167"/>
      <c r="BK6" s="110" t="s">
        <v>224</v>
      </c>
      <c r="BL6" s="110" t="s">
        <v>20</v>
      </c>
      <c r="BM6" s="110" t="s">
        <v>21</v>
      </c>
      <c r="BN6" s="174" t="s">
        <v>22</v>
      </c>
      <c r="BO6" s="169"/>
      <c r="BP6" s="169"/>
      <c r="BQ6" s="169"/>
      <c r="BR6" s="170"/>
      <c r="BS6" s="174" t="s">
        <v>30</v>
      </c>
      <c r="BT6" s="169"/>
      <c r="BU6" s="167"/>
    </row>
    <row r="7" spans="1:73" ht="15.75" customHeight="1">
      <c r="A7" s="144"/>
      <c r="B7" s="145"/>
      <c r="C7" s="146"/>
      <c r="D7" s="146"/>
      <c r="E7" s="147"/>
      <c r="F7" s="147"/>
      <c r="G7" s="148"/>
      <c r="H7" s="124" t="s">
        <v>32</v>
      </c>
      <c r="I7" s="124" t="s">
        <v>33</v>
      </c>
      <c r="J7" s="124" t="s">
        <v>34</v>
      </c>
      <c r="K7" s="124" t="s">
        <v>35</v>
      </c>
      <c r="L7" s="117" t="s">
        <v>225</v>
      </c>
      <c r="M7" s="124" t="s">
        <v>37</v>
      </c>
      <c r="N7" s="124" t="s">
        <v>38</v>
      </c>
      <c r="O7" s="124" t="s">
        <v>39</v>
      </c>
      <c r="P7" s="125" t="s">
        <v>40</v>
      </c>
      <c r="Q7" s="124" t="s">
        <v>41</v>
      </c>
      <c r="R7" s="124" t="s">
        <v>42</v>
      </c>
      <c r="S7" s="149"/>
      <c r="T7" s="149"/>
      <c r="U7" s="149"/>
      <c r="V7" s="149"/>
      <c r="W7" s="150" t="s">
        <v>37</v>
      </c>
      <c r="X7" s="150" t="s">
        <v>38</v>
      </c>
      <c r="Y7" s="150" t="s">
        <v>39</v>
      </c>
      <c r="Z7" s="151" t="s">
        <v>40</v>
      </c>
      <c r="AA7" s="151" t="s">
        <v>229</v>
      </c>
      <c r="AB7" s="25" t="s">
        <v>44</v>
      </c>
      <c r="AC7" s="57" t="s">
        <v>45</v>
      </c>
      <c r="AD7" s="151" t="s">
        <v>43</v>
      </c>
      <c r="AE7" s="150" t="s">
        <v>46</v>
      </c>
      <c r="AF7" s="57" t="s">
        <v>44</v>
      </c>
      <c r="AG7" s="57" t="s">
        <v>45</v>
      </c>
      <c r="AH7" s="108" t="s">
        <v>47</v>
      </c>
      <c r="AI7" s="123"/>
      <c r="AJ7" s="123"/>
      <c r="AK7" s="123"/>
      <c r="AL7" s="123"/>
      <c r="AM7" s="124" t="s">
        <v>37</v>
      </c>
      <c r="AN7" s="124" t="s">
        <v>38</v>
      </c>
      <c r="AO7" s="124" t="s">
        <v>39</v>
      </c>
      <c r="AP7" s="125" t="s">
        <v>40</v>
      </c>
      <c r="AQ7" s="125" t="s">
        <v>229</v>
      </c>
      <c r="AR7" s="23" t="s">
        <v>44</v>
      </c>
      <c r="AS7" s="110" t="s">
        <v>45</v>
      </c>
      <c r="AT7" s="125" t="s">
        <v>43</v>
      </c>
      <c r="AU7" s="124" t="s">
        <v>46</v>
      </c>
      <c r="AV7" s="110" t="s">
        <v>44</v>
      </c>
      <c r="AW7" s="110" t="s">
        <v>45</v>
      </c>
      <c r="AX7" s="107" t="s">
        <v>47</v>
      </c>
      <c r="AY7" s="149"/>
      <c r="AZ7" s="149"/>
      <c r="BA7" s="149"/>
      <c r="BB7" s="149"/>
      <c r="BC7" s="150" t="s">
        <v>37</v>
      </c>
      <c r="BD7" s="150" t="s">
        <v>38</v>
      </c>
      <c r="BE7" s="150" t="s">
        <v>39</v>
      </c>
      <c r="BF7" s="151" t="s">
        <v>40</v>
      </c>
      <c r="BG7" s="151" t="s">
        <v>229</v>
      </c>
      <c r="BH7" s="25" t="s">
        <v>51</v>
      </c>
      <c r="BI7" s="57" t="s">
        <v>52</v>
      </c>
      <c r="BJ7" s="81" t="s">
        <v>53</v>
      </c>
      <c r="BK7" s="123"/>
      <c r="BL7" s="123"/>
      <c r="BM7" s="123"/>
      <c r="BN7" s="124" t="s">
        <v>37</v>
      </c>
      <c r="BO7" s="124" t="s">
        <v>38</v>
      </c>
      <c r="BP7" s="124" t="s">
        <v>39</v>
      </c>
      <c r="BQ7" s="125" t="s">
        <v>40</v>
      </c>
      <c r="BR7" s="125" t="s">
        <v>229</v>
      </c>
      <c r="BS7" s="23" t="s">
        <v>51</v>
      </c>
      <c r="BT7" s="110" t="s">
        <v>45</v>
      </c>
      <c r="BU7" s="110" t="s">
        <v>228</v>
      </c>
    </row>
    <row r="8" spans="1:73" ht="61.5" customHeight="1">
      <c r="A8" s="152"/>
      <c r="B8" s="44"/>
      <c r="C8" s="32"/>
      <c r="D8" s="32"/>
      <c r="E8" s="32"/>
      <c r="F8" s="32"/>
      <c r="G8" s="34" t="s">
        <v>475</v>
      </c>
      <c r="H8" s="95"/>
      <c r="I8" s="95"/>
      <c r="J8" s="95"/>
      <c r="K8" s="95"/>
      <c r="L8" s="153"/>
      <c r="M8" s="96"/>
      <c r="N8" s="96"/>
      <c r="O8" s="96"/>
      <c r="P8" s="127"/>
      <c r="Q8" s="95"/>
      <c r="R8" s="96"/>
      <c r="S8" s="35"/>
      <c r="T8" s="35"/>
      <c r="U8" s="35"/>
      <c r="V8" s="35"/>
      <c r="W8" s="96"/>
      <c r="X8" s="96"/>
      <c r="Y8" s="96"/>
      <c r="Z8" s="127"/>
      <c r="AA8" s="127"/>
      <c r="AB8" s="96"/>
      <c r="AC8" s="35"/>
      <c r="AD8" s="127"/>
      <c r="AE8" s="96"/>
      <c r="AF8" s="35"/>
      <c r="AG8" s="154"/>
      <c r="AH8" s="28"/>
      <c r="AI8" s="35"/>
      <c r="AJ8" s="35"/>
      <c r="AK8" s="35"/>
      <c r="AL8" s="35"/>
      <c r="AM8" s="96"/>
      <c r="AN8" s="96"/>
      <c r="AO8" s="96"/>
      <c r="AP8" s="127"/>
      <c r="AQ8" s="127"/>
      <c r="AR8" s="96"/>
      <c r="AS8" s="35"/>
      <c r="AT8" s="127"/>
      <c r="AU8" s="96"/>
      <c r="AV8" s="35"/>
      <c r="AW8" s="154"/>
      <c r="AX8" s="28"/>
      <c r="AY8" s="35"/>
      <c r="AZ8" s="35"/>
      <c r="BA8" s="35"/>
      <c r="BB8" s="35"/>
      <c r="BC8" s="96"/>
      <c r="BD8" s="96"/>
      <c r="BE8" s="96"/>
      <c r="BF8" s="127"/>
      <c r="BG8" s="127"/>
      <c r="BH8" s="95"/>
      <c r="BI8" s="154"/>
      <c r="BJ8" s="35"/>
      <c r="BK8" s="35"/>
      <c r="BL8" s="35"/>
      <c r="BM8" s="35"/>
      <c r="BN8" s="96"/>
      <c r="BO8" s="96"/>
      <c r="BP8" s="96"/>
      <c r="BQ8" s="127"/>
      <c r="BR8" s="127"/>
      <c r="BS8" s="95"/>
      <c r="BT8" s="154"/>
      <c r="BU8" s="35"/>
    </row>
    <row r="9" spans="1:73" ht="61.5" customHeight="1">
      <c r="A9" s="155" t="s">
        <v>232</v>
      </c>
      <c r="B9" s="95"/>
      <c r="C9" s="96" t="s">
        <v>233</v>
      </c>
      <c r="D9" s="96" t="s">
        <v>234</v>
      </c>
      <c r="E9" s="96" t="s">
        <v>235</v>
      </c>
      <c r="F9" s="96" t="s">
        <v>236</v>
      </c>
      <c r="G9" s="96" t="s">
        <v>237</v>
      </c>
      <c r="H9" s="193" t="s">
        <v>238</v>
      </c>
      <c r="I9" s="169"/>
      <c r="J9" s="169"/>
      <c r="K9" s="169"/>
      <c r="L9" s="167"/>
      <c r="M9" s="191" t="s">
        <v>476</v>
      </c>
      <c r="N9" s="169"/>
      <c r="O9" s="169"/>
      <c r="P9" s="167"/>
      <c r="Q9" s="95" t="s">
        <v>240</v>
      </c>
      <c r="R9" s="96" t="s">
        <v>241</v>
      </c>
      <c r="S9" s="96" t="s">
        <v>242</v>
      </c>
      <c r="T9" s="96" t="s">
        <v>477</v>
      </c>
      <c r="U9" s="96" t="s">
        <v>244</v>
      </c>
      <c r="V9" s="96" t="s">
        <v>245</v>
      </c>
      <c r="W9" s="191" t="s">
        <v>478</v>
      </c>
      <c r="X9" s="169"/>
      <c r="Y9" s="169"/>
      <c r="Z9" s="169"/>
      <c r="AA9" s="167"/>
      <c r="AB9" s="191" t="s">
        <v>247</v>
      </c>
      <c r="AC9" s="169"/>
      <c r="AD9" s="167"/>
      <c r="AE9" s="96" t="s">
        <v>248</v>
      </c>
      <c r="AF9" s="96" t="s">
        <v>249</v>
      </c>
      <c r="AG9" s="95" t="s">
        <v>250</v>
      </c>
      <c r="AH9" s="96" t="s">
        <v>251</v>
      </c>
      <c r="AI9" s="96" t="s">
        <v>479</v>
      </c>
      <c r="AJ9" s="96" t="s">
        <v>477</v>
      </c>
      <c r="AK9" s="96" t="s">
        <v>244</v>
      </c>
      <c r="AL9" s="96" t="s">
        <v>245</v>
      </c>
      <c r="AM9" s="191" t="s">
        <v>480</v>
      </c>
      <c r="AN9" s="169"/>
      <c r="AO9" s="169"/>
      <c r="AP9" s="169"/>
      <c r="AQ9" s="167"/>
      <c r="AR9" s="191" t="s">
        <v>247</v>
      </c>
      <c r="AS9" s="169"/>
      <c r="AT9" s="167"/>
      <c r="AU9" s="96" t="s">
        <v>248</v>
      </c>
      <c r="AV9" s="96" t="s">
        <v>249</v>
      </c>
      <c r="AW9" s="95" t="s">
        <v>250</v>
      </c>
      <c r="AX9" s="96" t="s">
        <v>251</v>
      </c>
      <c r="AY9" s="96" t="s">
        <v>252</v>
      </c>
      <c r="AZ9" s="96" t="s">
        <v>481</v>
      </c>
      <c r="BA9" s="96" t="s">
        <v>482</v>
      </c>
      <c r="BB9" s="96" t="s">
        <v>255</v>
      </c>
      <c r="BC9" s="191" t="s">
        <v>483</v>
      </c>
      <c r="BD9" s="169"/>
      <c r="BE9" s="169"/>
      <c r="BF9" s="169"/>
      <c r="BG9" s="167"/>
      <c r="BH9" s="95" t="s">
        <v>266</v>
      </c>
      <c r="BI9" s="95" t="s">
        <v>250</v>
      </c>
      <c r="BJ9" s="96" t="s">
        <v>258</v>
      </c>
      <c r="BK9" s="96" t="s">
        <v>264</v>
      </c>
      <c r="BL9" s="96" t="s">
        <v>260</v>
      </c>
      <c r="BM9" s="96" t="s">
        <v>265</v>
      </c>
      <c r="BN9" s="191" t="s">
        <v>262</v>
      </c>
      <c r="BO9" s="169"/>
      <c r="BP9" s="169"/>
      <c r="BQ9" s="169"/>
      <c r="BR9" s="167"/>
      <c r="BS9" s="95" t="s">
        <v>266</v>
      </c>
      <c r="BT9" s="95" t="s">
        <v>250</v>
      </c>
      <c r="BU9" s="96" t="s">
        <v>263</v>
      </c>
    </row>
    <row r="10" spans="1:73" ht="15.75" customHeight="1">
      <c r="A10" s="155" t="s">
        <v>161</v>
      </c>
      <c r="B10" s="95"/>
      <c r="C10" s="96" t="s">
        <v>162</v>
      </c>
      <c r="D10" s="96" t="s">
        <v>484</v>
      </c>
      <c r="E10" s="96" t="s">
        <v>164</v>
      </c>
      <c r="F10" s="96" t="s">
        <v>165</v>
      </c>
      <c r="G10" s="96" t="s">
        <v>485</v>
      </c>
      <c r="H10" s="96" t="s">
        <v>486</v>
      </c>
      <c r="I10" s="96" t="s">
        <v>487</v>
      </c>
      <c r="J10" s="96" t="s">
        <v>488</v>
      </c>
      <c r="K10" s="96" t="s">
        <v>489</v>
      </c>
      <c r="L10" s="96" t="s">
        <v>490</v>
      </c>
      <c r="M10" s="96" t="s">
        <v>491</v>
      </c>
      <c r="N10" s="96" t="s">
        <v>492</v>
      </c>
      <c r="O10" s="96" t="s">
        <v>493</v>
      </c>
      <c r="P10" s="96" t="s">
        <v>494</v>
      </c>
      <c r="Q10" s="96" t="s">
        <v>495</v>
      </c>
      <c r="R10" s="96" t="s">
        <v>496</v>
      </c>
      <c r="S10" s="35" t="s">
        <v>497</v>
      </c>
      <c r="T10" s="35" t="s">
        <v>498</v>
      </c>
      <c r="U10" s="35" t="s">
        <v>499</v>
      </c>
      <c r="V10" s="35" t="s">
        <v>500</v>
      </c>
      <c r="W10" s="96" t="s">
        <v>501</v>
      </c>
      <c r="X10" s="96" t="s">
        <v>502</v>
      </c>
      <c r="Y10" s="96" t="s">
        <v>503</v>
      </c>
      <c r="Z10" s="96" t="s">
        <v>504</v>
      </c>
      <c r="AA10" s="96" t="s">
        <v>505</v>
      </c>
      <c r="AB10" s="35" t="s">
        <v>506</v>
      </c>
      <c r="AC10" s="35" t="s">
        <v>507</v>
      </c>
      <c r="AD10" s="35" t="s">
        <v>508</v>
      </c>
      <c r="AE10" s="35" t="s">
        <v>509</v>
      </c>
      <c r="AF10" s="35" t="s">
        <v>510</v>
      </c>
      <c r="AG10" s="35" t="s">
        <v>511</v>
      </c>
      <c r="AH10" s="35" t="s">
        <v>512</v>
      </c>
      <c r="AI10" s="35" t="s">
        <v>513</v>
      </c>
      <c r="AJ10" s="35" t="s">
        <v>514</v>
      </c>
      <c r="AK10" s="35" t="s">
        <v>515</v>
      </c>
      <c r="AL10" s="35" t="s">
        <v>516</v>
      </c>
      <c r="AM10" s="96" t="s">
        <v>517</v>
      </c>
      <c r="AN10" s="96" t="s">
        <v>518</v>
      </c>
      <c r="AO10" s="96" t="s">
        <v>519</v>
      </c>
      <c r="AP10" s="96" t="s">
        <v>520</v>
      </c>
      <c r="AQ10" s="96" t="s">
        <v>521</v>
      </c>
      <c r="AR10" s="35" t="s">
        <v>522</v>
      </c>
      <c r="AS10" s="35" t="s">
        <v>523</v>
      </c>
      <c r="AT10" s="35" t="s">
        <v>524</v>
      </c>
      <c r="AU10" s="35" t="s">
        <v>525</v>
      </c>
      <c r="AV10" s="35" t="s">
        <v>526</v>
      </c>
      <c r="AW10" s="35" t="s">
        <v>527</v>
      </c>
      <c r="AX10" s="35" t="s">
        <v>528</v>
      </c>
      <c r="AY10" s="35" t="s">
        <v>529</v>
      </c>
      <c r="AZ10" s="35" t="s">
        <v>530</v>
      </c>
      <c r="BA10" s="35" t="s">
        <v>531</v>
      </c>
      <c r="BB10" s="35" t="s">
        <v>532</v>
      </c>
      <c r="BC10" s="96" t="s">
        <v>533</v>
      </c>
      <c r="BD10" s="96" t="s">
        <v>534</v>
      </c>
      <c r="BE10" s="96" t="s">
        <v>535</v>
      </c>
      <c r="BF10" s="96" t="s">
        <v>536</v>
      </c>
      <c r="BG10" s="96" t="s">
        <v>537</v>
      </c>
      <c r="BH10" s="96" t="s">
        <v>538</v>
      </c>
      <c r="BI10" s="96" t="s">
        <v>539</v>
      </c>
      <c r="BJ10" s="96" t="s">
        <v>540</v>
      </c>
      <c r="BK10" s="35" t="s">
        <v>541</v>
      </c>
      <c r="BL10" s="35" t="s">
        <v>542</v>
      </c>
      <c r="BM10" s="35" t="s">
        <v>543</v>
      </c>
      <c r="BN10" s="96" t="s">
        <v>544</v>
      </c>
      <c r="BO10" s="96" t="s">
        <v>545</v>
      </c>
      <c r="BP10" s="96" t="s">
        <v>546</v>
      </c>
      <c r="BQ10" s="96" t="s">
        <v>547</v>
      </c>
      <c r="BR10" s="96" t="s">
        <v>548</v>
      </c>
      <c r="BS10" s="96" t="s">
        <v>549</v>
      </c>
      <c r="BT10" s="96" t="s">
        <v>550</v>
      </c>
      <c r="BU10" s="96" t="s">
        <v>551</v>
      </c>
    </row>
    <row r="11" spans="1:73" ht="73.5" customHeight="1">
      <c r="A11" s="126" t="s">
        <v>552</v>
      </c>
      <c r="B11" s="95"/>
      <c r="C11" s="96"/>
      <c r="D11" s="96"/>
      <c r="E11" s="96" t="s">
        <v>323</v>
      </c>
      <c r="F11" s="96" t="s">
        <v>323</v>
      </c>
      <c r="G11" s="191" t="s">
        <v>553</v>
      </c>
      <c r="H11" s="169"/>
      <c r="I11" s="169"/>
      <c r="J11" s="169"/>
      <c r="K11" s="169"/>
      <c r="L11" s="167"/>
      <c r="M11" s="191" t="s">
        <v>324</v>
      </c>
      <c r="N11" s="169"/>
      <c r="O11" s="169"/>
      <c r="P11" s="169"/>
      <c r="Q11" s="169"/>
      <c r="R11" s="167"/>
      <c r="S11" s="96" t="s">
        <v>554</v>
      </c>
      <c r="T11" s="96" t="s">
        <v>326</v>
      </c>
      <c r="U11" s="96" t="s">
        <v>326</v>
      </c>
      <c r="V11" s="96" t="s">
        <v>326</v>
      </c>
      <c r="W11" s="96" t="s">
        <v>326</v>
      </c>
      <c r="X11" s="96" t="s">
        <v>326</v>
      </c>
      <c r="Y11" s="97" t="s">
        <v>326</v>
      </c>
      <c r="Z11" s="96" t="s">
        <v>326</v>
      </c>
      <c r="AA11" s="96" t="s">
        <v>326</v>
      </c>
      <c r="AB11" s="96" t="s">
        <v>326</v>
      </c>
      <c r="AC11" s="96" t="s">
        <v>326</v>
      </c>
      <c r="AD11" s="96" t="s">
        <v>326</v>
      </c>
      <c r="AE11" s="96" t="s">
        <v>326</v>
      </c>
      <c r="AF11" s="96" t="s">
        <v>326</v>
      </c>
      <c r="AG11" s="96" t="s">
        <v>326</v>
      </c>
      <c r="AH11" s="96" t="s">
        <v>326</v>
      </c>
      <c r="AI11" s="96" t="s">
        <v>326</v>
      </c>
      <c r="AJ11" s="96" t="s">
        <v>326</v>
      </c>
      <c r="AK11" s="96" t="s">
        <v>326</v>
      </c>
      <c r="AL11" s="96" t="s">
        <v>326</v>
      </c>
      <c r="AM11" s="96" t="s">
        <v>326</v>
      </c>
      <c r="AN11" s="96" t="s">
        <v>326</v>
      </c>
      <c r="AO11" s="96" t="s">
        <v>326</v>
      </c>
      <c r="AP11" s="96" t="s">
        <v>326</v>
      </c>
      <c r="AQ11" s="96" t="s">
        <v>326</v>
      </c>
      <c r="AR11" s="96" t="s">
        <v>326</v>
      </c>
      <c r="AS11" s="96" t="s">
        <v>326</v>
      </c>
      <c r="AT11" s="96" t="s">
        <v>326</v>
      </c>
      <c r="AU11" s="96" t="s">
        <v>326</v>
      </c>
      <c r="AV11" s="96" t="s">
        <v>326</v>
      </c>
      <c r="AW11" s="96" t="s">
        <v>326</v>
      </c>
      <c r="AX11" s="96" t="s">
        <v>326</v>
      </c>
      <c r="AY11" s="96" t="s">
        <v>327</v>
      </c>
      <c r="AZ11" s="96" t="s">
        <v>327</v>
      </c>
      <c r="BA11" s="96" t="s">
        <v>327</v>
      </c>
      <c r="BB11" s="96" t="s">
        <v>327</v>
      </c>
      <c r="BC11" s="96" t="s">
        <v>327</v>
      </c>
      <c r="BD11" s="96" t="s">
        <v>327</v>
      </c>
      <c r="BE11" s="96" t="s">
        <v>327</v>
      </c>
      <c r="BF11" s="96" t="s">
        <v>327</v>
      </c>
      <c r="BG11" s="96" t="s">
        <v>327</v>
      </c>
      <c r="BH11" s="96" t="s">
        <v>327</v>
      </c>
      <c r="BI11" s="96" t="s">
        <v>327</v>
      </c>
      <c r="BJ11" s="96" t="s">
        <v>327</v>
      </c>
      <c r="BK11" s="96" t="s">
        <v>328</v>
      </c>
      <c r="BL11" s="96" t="s">
        <v>328</v>
      </c>
      <c r="BM11" s="96" t="s">
        <v>328</v>
      </c>
      <c r="BN11" s="96" t="s">
        <v>328</v>
      </c>
      <c r="BO11" s="96" t="s">
        <v>328</v>
      </c>
      <c r="BP11" s="96" t="s">
        <v>328</v>
      </c>
      <c r="BQ11" s="96" t="s">
        <v>328</v>
      </c>
      <c r="BR11" s="96" t="s">
        <v>328</v>
      </c>
      <c r="BS11" s="96" t="s">
        <v>328</v>
      </c>
      <c r="BT11" s="96" t="s">
        <v>328</v>
      </c>
      <c r="BU11" s="96" t="s">
        <v>328</v>
      </c>
    </row>
    <row r="12" spans="1:73" ht="49.5" customHeight="1">
      <c r="A12" s="27"/>
      <c r="B12" s="27">
        <v>1</v>
      </c>
      <c r="C12" s="27">
        <v>11</v>
      </c>
      <c r="D12" s="27" t="s">
        <v>555</v>
      </c>
      <c r="E12" s="96" t="s">
        <v>556</v>
      </c>
      <c r="F12" s="96" t="s">
        <v>56</v>
      </c>
      <c r="G12" s="27" t="s">
        <v>557</v>
      </c>
      <c r="H12" s="27">
        <v>11</v>
      </c>
      <c r="I12" s="27" t="s">
        <v>555</v>
      </c>
      <c r="J12" s="27" t="s">
        <v>558</v>
      </c>
      <c r="K12" s="27" t="s">
        <v>69</v>
      </c>
      <c r="L12" s="27"/>
      <c r="M12" s="27" t="s">
        <v>559</v>
      </c>
      <c r="N12" s="27" t="s">
        <v>66</v>
      </c>
      <c r="O12" s="27" t="s">
        <v>560</v>
      </c>
      <c r="P12" s="27"/>
      <c r="Q12" s="27" t="s">
        <v>59</v>
      </c>
      <c r="R12" s="27" t="s">
        <v>117</v>
      </c>
      <c r="S12" s="156">
        <v>104</v>
      </c>
      <c r="T12" s="157" t="s">
        <v>60</v>
      </c>
      <c r="U12" s="157">
        <v>33395</v>
      </c>
      <c r="V12" s="27" t="s">
        <v>561</v>
      </c>
      <c r="W12" s="96"/>
      <c r="X12" s="96"/>
      <c r="Y12" s="96"/>
      <c r="Z12" s="96"/>
      <c r="AA12" s="96"/>
      <c r="AB12" s="96"/>
      <c r="AC12" s="96"/>
      <c r="AD12" s="96"/>
      <c r="AE12" s="96"/>
      <c r="AF12" s="27"/>
      <c r="AG12" s="27"/>
      <c r="AH12" s="27"/>
      <c r="AI12" s="27"/>
      <c r="AJ12" s="27"/>
      <c r="AK12" s="27"/>
      <c r="AL12" s="27"/>
      <c r="AM12" s="96"/>
      <c r="AN12" s="96"/>
      <c r="AO12" s="96"/>
      <c r="AP12" s="96"/>
      <c r="AQ12" s="96"/>
      <c r="AR12" s="96"/>
      <c r="AS12" s="96"/>
      <c r="AT12" s="96"/>
      <c r="AU12" s="96"/>
      <c r="AV12" s="27"/>
      <c r="AW12" s="27"/>
      <c r="AX12" s="27"/>
      <c r="AY12" s="27"/>
      <c r="AZ12" s="27"/>
      <c r="BA12" s="27"/>
      <c r="BB12" s="27"/>
      <c r="BC12" s="96"/>
      <c r="BD12" s="96"/>
      <c r="BE12" s="96"/>
      <c r="BF12" s="96"/>
      <c r="BG12" s="96"/>
      <c r="BH12" s="96"/>
      <c r="BI12" s="96"/>
      <c r="BJ12" s="96"/>
      <c r="BK12" s="27"/>
      <c r="BL12" s="27"/>
      <c r="BM12" s="27"/>
      <c r="BN12" s="96"/>
      <c r="BO12" s="96"/>
      <c r="BP12" s="96"/>
      <c r="BQ12" s="96"/>
      <c r="BR12" s="96"/>
      <c r="BS12" s="96"/>
      <c r="BT12" s="96"/>
      <c r="BU12" s="96"/>
    </row>
    <row r="13" spans="1:73" ht="57" customHeight="1">
      <c r="A13" s="27"/>
      <c r="B13" s="27">
        <v>4</v>
      </c>
      <c r="C13" s="27">
        <v>11</v>
      </c>
      <c r="D13" s="27" t="s">
        <v>555</v>
      </c>
      <c r="E13" s="96" t="s">
        <v>556</v>
      </c>
      <c r="F13" s="96" t="s">
        <v>56</v>
      </c>
      <c r="G13" s="27" t="s">
        <v>562</v>
      </c>
      <c r="H13" s="27">
        <v>11</v>
      </c>
      <c r="I13" s="27" t="s">
        <v>555</v>
      </c>
      <c r="J13" s="27" t="s">
        <v>563</v>
      </c>
      <c r="K13" s="96" t="s">
        <v>564</v>
      </c>
      <c r="L13" s="96"/>
      <c r="M13" s="96" t="s">
        <v>565</v>
      </c>
      <c r="N13" s="96"/>
      <c r="O13" s="96" t="s">
        <v>566</v>
      </c>
      <c r="P13" s="96"/>
      <c r="Q13" s="27" t="s">
        <v>63</v>
      </c>
      <c r="R13" s="96" t="s">
        <v>117</v>
      </c>
      <c r="S13" s="158">
        <v>28</v>
      </c>
      <c r="T13" s="157" t="s">
        <v>60</v>
      </c>
      <c r="U13" s="157">
        <v>8469</v>
      </c>
      <c r="V13" s="96" t="s">
        <v>567</v>
      </c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</row>
    <row r="14" spans="1:73" ht="52.5" customHeight="1">
      <c r="A14" s="27"/>
      <c r="B14" s="27">
        <v>5</v>
      </c>
      <c r="C14" s="27">
        <v>11</v>
      </c>
      <c r="D14" s="27" t="s">
        <v>555</v>
      </c>
      <c r="E14" s="96" t="s">
        <v>556</v>
      </c>
      <c r="F14" s="96" t="s">
        <v>56</v>
      </c>
      <c r="G14" s="27" t="s">
        <v>568</v>
      </c>
      <c r="H14" s="27">
        <v>11</v>
      </c>
      <c r="I14" s="27" t="s">
        <v>555</v>
      </c>
      <c r="J14" s="27" t="s">
        <v>558</v>
      </c>
      <c r="K14" s="96" t="s">
        <v>57</v>
      </c>
      <c r="L14" s="96"/>
      <c r="M14" s="96" t="s">
        <v>569</v>
      </c>
      <c r="N14" s="96"/>
      <c r="O14" s="96" t="s">
        <v>570</v>
      </c>
      <c r="P14" s="96"/>
      <c r="Q14" s="96" t="s">
        <v>59</v>
      </c>
      <c r="R14" s="96"/>
      <c r="S14" s="158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</row>
    <row r="15" spans="1:73" ht="57" customHeight="1">
      <c r="A15" s="27"/>
      <c r="B15" s="27">
        <v>6</v>
      </c>
      <c r="C15" s="27">
        <v>11</v>
      </c>
      <c r="D15" s="27" t="s">
        <v>555</v>
      </c>
      <c r="E15" s="96" t="s">
        <v>556</v>
      </c>
      <c r="F15" s="96" t="s">
        <v>56</v>
      </c>
      <c r="G15" s="27" t="s">
        <v>571</v>
      </c>
      <c r="H15" s="27">
        <v>11</v>
      </c>
      <c r="I15" s="27" t="s">
        <v>555</v>
      </c>
      <c r="J15" s="27" t="s">
        <v>558</v>
      </c>
      <c r="K15" s="96" t="s">
        <v>572</v>
      </c>
      <c r="L15" s="96"/>
      <c r="M15" s="96" t="s">
        <v>573</v>
      </c>
      <c r="N15" s="96" t="s">
        <v>574</v>
      </c>
      <c r="O15" s="96" t="s">
        <v>575</v>
      </c>
      <c r="P15" s="96"/>
      <c r="Q15" s="96" t="s">
        <v>59</v>
      </c>
      <c r="R15" s="96"/>
      <c r="S15" s="158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</row>
    <row r="16" spans="1:73" ht="50.25" customHeight="1">
      <c r="A16" s="27"/>
      <c r="B16" s="27">
        <v>7</v>
      </c>
      <c r="C16" s="27">
        <v>11</v>
      </c>
      <c r="D16" s="27" t="s">
        <v>555</v>
      </c>
      <c r="E16" s="96" t="s">
        <v>556</v>
      </c>
      <c r="F16" s="96" t="s">
        <v>56</v>
      </c>
      <c r="G16" s="27" t="s">
        <v>576</v>
      </c>
      <c r="H16" s="27">
        <v>11</v>
      </c>
      <c r="I16" s="27" t="s">
        <v>555</v>
      </c>
      <c r="J16" s="27" t="s">
        <v>558</v>
      </c>
      <c r="K16" s="96" t="s">
        <v>577</v>
      </c>
      <c r="L16" s="96"/>
      <c r="M16" s="96" t="s">
        <v>578</v>
      </c>
      <c r="N16" s="96" t="s">
        <v>363</v>
      </c>
      <c r="O16" s="96" t="s">
        <v>579</v>
      </c>
      <c r="P16" s="96"/>
      <c r="Q16" s="96" t="s">
        <v>59</v>
      </c>
      <c r="R16" s="96" t="s">
        <v>117</v>
      </c>
      <c r="S16" s="158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</row>
    <row r="17" spans="1:73" ht="63" customHeight="1">
      <c r="A17" s="27"/>
      <c r="B17" s="27">
        <v>8</v>
      </c>
      <c r="C17" s="27">
        <v>11</v>
      </c>
      <c r="D17" s="27" t="s">
        <v>555</v>
      </c>
      <c r="E17" s="96" t="s">
        <v>556</v>
      </c>
      <c r="F17" s="96" t="s">
        <v>56</v>
      </c>
      <c r="G17" s="27" t="s">
        <v>580</v>
      </c>
      <c r="H17" s="27">
        <v>11</v>
      </c>
      <c r="I17" s="27" t="s">
        <v>555</v>
      </c>
      <c r="J17" s="27" t="s">
        <v>558</v>
      </c>
      <c r="K17" s="96" t="s">
        <v>581</v>
      </c>
      <c r="L17" s="96"/>
      <c r="M17" s="96" t="s">
        <v>582</v>
      </c>
      <c r="N17" s="96"/>
      <c r="O17" s="96" t="s">
        <v>583</v>
      </c>
      <c r="P17" s="96"/>
      <c r="Q17" s="96" t="s">
        <v>63</v>
      </c>
      <c r="R17" s="96" t="s">
        <v>117</v>
      </c>
      <c r="S17" s="158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</row>
    <row r="18" spans="1:73" ht="51.75" customHeight="1">
      <c r="A18" s="27"/>
      <c r="B18" s="27">
        <v>9</v>
      </c>
      <c r="C18" s="27">
        <v>11</v>
      </c>
      <c r="D18" s="27" t="s">
        <v>555</v>
      </c>
      <c r="E18" s="96" t="s">
        <v>556</v>
      </c>
      <c r="F18" s="96" t="s">
        <v>56</v>
      </c>
      <c r="G18" s="27" t="s">
        <v>584</v>
      </c>
      <c r="H18" s="27">
        <v>11</v>
      </c>
      <c r="I18" s="27" t="s">
        <v>555</v>
      </c>
      <c r="J18" s="27" t="s">
        <v>558</v>
      </c>
      <c r="K18" s="96" t="s">
        <v>585</v>
      </c>
      <c r="L18" s="96"/>
      <c r="M18" s="96" t="s">
        <v>586</v>
      </c>
      <c r="N18" s="96"/>
      <c r="O18" s="96" t="s">
        <v>587</v>
      </c>
      <c r="P18" s="96"/>
      <c r="Q18" s="96" t="s">
        <v>59</v>
      </c>
      <c r="R18" s="96"/>
      <c r="S18" s="158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/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</row>
    <row r="19" spans="1:73" ht="52.5" customHeight="1">
      <c r="A19" s="27"/>
      <c r="B19" s="27">
        <v>10</v>
      </c>
      <c r="C19" s="27">
        <v>11</v>
      </c>
      <c r="D19" s="27" t="s">
        <v>555</v>
      </c>
      <c r="E19" s="96" t="s">
        <v>556</v>
      </c>
      <c r="F19" s="96" t="s">
        <v>56</v>
      </c>
      <c r="G19" s="27" t="s">
        <v>588</v>
      </c>
      <c r="H19" s="27">
        <v>11</v>
      </c>
      <c r="I19" s="27" t="s">
        <v>555</v>
      </c>
      <c r="J19" s="27" t="s">
        <v>558</v>
      </c>
      <c r="K19" s="96" t="s">
        <v>589</v>
      </c>
      <c r="L19" s="96"/>
      <c r="M19" s="96" t="s">
        <v>590</v>
      </c>
      <c r="N19" s="96"/>
      <c r="O19" s="96" t="s">
        <v>591</v>
      </c>
      <c r="P19" s="96"/>
      <c r="Q19" s="96" t="s">
        <v>59</v>
      </c>
      <c r="R19" s="96"/>
      <c r="S19" s="158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</row>
    <row r="20" spans="1:73" ht="51.75" customHeight="1">
      <c r="A20" s="27"/>
      <c r="B20" s="27">
        <v>11</v>
      </c>
      <c r="C20" s="27">
        <v>11</v>
      </c>
      <c r="D20" s="27" t="s">
        <v>555</v>
      </c>
      <c r="E20" s="96" t="s">
        <v>556</v>
      </c>
      <c r="F20" s="96" t="s">
        <v>56</v>
      </c>
      <c r="G20" s="27" t="s">
        <v>592</v>
      </c>
      <c r="H20" s="27">
        <v>11</v>
      </c>
      <c r="I20" s="27" t="s">
        <v>555</v>
      </c>
      <c r="J20" s="27" t="s">
        <v>558</v>
      </c>
      <c r="K20" s="96" t="s">
        <v>593</v>
      </c>
      <c r="L20" s="96"/>
      <c r="M20" s="96" t="s">
        <v>594</v>
      </c>
      <c r="N20" s="96"/>
      <c r="O20" s="96" t="s">
        <v>595</v>
      </c>
      <c r="P20" s="96"/>
      <c r="Q20" s="96" t="s">
        <v>59</v>
      </c>
      <c r="R20" s="96"/>
      <c r="S20" s="158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</row>
    <row r="21" spans="1:73" ht="51.75" customHeight="1">
      <c r="A21" s="27"/>
      <c r="B21" s="27">
        <v>12</v>
      </c>
      <c r="C21" s="27">
        <v>11</v>
      </c>
      <c r="D21" s="27" t="s">
        <v>555</v>
      </c>
      <c r="E21" s="96" t="s">
        <v>556</v>
      </c>
      <c r="F21" s="96" t="s">
        <v>56</v>
      </c>
      <c r="G21" s="27" t="s">
        <v>596</v>
      </c>
      <c r="H21" s="27">
        <v>11</v>
      </c>
      <c r="I21" s="27" t="s">
        <v>555</v>
      </c>
      <c r="J21" s="27" t="s">
        <v>558</v>
      </c>
      <c r="K21" s="96" t="s">
        <v>69</v>
      </c>
      <c r="L21" s="96"/>
      <c r="M21" s="96" t="s">
        <v>597</v>
      </c>
      <c r="N21" s="96" t="s">
        <v>358</v>
      </c>
      <c r="O21" s="96" t="s">
        <v>598</v>
      </c>
      <c r="P21" s="96" t="s">
        <v>599</v>
      </c>
      <c r="Q21" s="96" t="s">
        <v>59</v>
      </c>
      <c r="R21" s="96" t="s">
        <v>117</v>
      </c>
      <c r="S21" s="158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96"/>
      <c r="AS21" s="96"/>
      <c r="AT21" s="96"/>
      <c r="AU21" s="96"/>
      <c r="AV21" s="96"/>
      <c r="AW21" s="96"/>
      <c r="AX21" s="96"/>
      <c r="AY21" s="96"/>
      <c r="AZ21" s="96"/>
      <c r="BA21" s="96"/>
      <c r="BB21" s="96"/>
      <c r="BC21" s="96"/>
      <c r="BD21" s="96"/>
      <c r="BE21" s="96"/>
      <c r="BF21" s="96"/>
      <c r="BG21" s="96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/>
      <c r="BS21" s="96"/>
      <c r="BT21" s="96"/>
      <c r="BU21" s="96"/>
    </row>
    <row r="22" spans="1:73" ht="52.5" customHeight="1">
      <c r="A22" s="27"/>
      <c r="B22" s="27">
        <v>13</v>
      </c>
      <c r="C22" s="27">
        <v>11</v>
      </c>
      <c r="D22" s="27" t="s">
        <v>555</v>
      </c>
      <c r="E22" s="96" t="s">
        <v>556</v>
      </c>
      <c r="F22" s="96" t="s">
        <v>56</v>
      </c>
      <c r="G22" s="27" t="s">
        <v>600</v>
      </c>
      <c r="H22" s="27">
        <v>11</v>
      </c>
      <c r="I22" s="27" t="s">
        <v>555</v>
      </c>
      <c r="J22" s="27" t="s">
        <v>558</v>
      </c>
      <c r="K22" s="96" t="s">
        <v>69</v>
      </c>
      <c r="L22" s="96"/>
      <c r="M22" s="96" t="s">
        <v>601</v>
      </c>
      <c r="N22" s="96"/>
      <c r="O22" s="96" t="s">
        <v>602</v>
      </c>
      <c r="P22" s="96"/>
      <c r="Q22" s="96" t="s">
        <v>59</v>
      </c>
      <c r="R22" s="96" t="s">
        <v>117</v>
      </c>
      <c r="S22" s="158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6"/>
      <c r="AR22" s="96"/>
      <c r="AS22" s="96"/>
      <c r="AT22" s="96"/>
      <c r="AU22" s="96"/>
      <c r="AV22" s="96"/>
      <c r="AW22" s="96"/>
      <c r="AX22" s="96"/>
      <c r="AY22" s="96"/>
      <c r="AZ22" s="96"/>
      <c r="BA22" s="96"/>
      <c r="BB22" s="96"/>
      <c r="BC22" s="96"/>
      <c r="BD22" s="96"/>
      <c r="BE22" s="96"/>
      <c r="BF22" s="96"/>
      <c r="BG22" s="96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/>
      <c r="BS22" s="96"/>
      <c r="BT22" s="96"/>
      <c r="BU22" s="96"/>
    </row>
    <row r="23" spans="1:73" ht="55.5" customHeight="1">
      <c r="A23" s="27"/>
      <c r="B23" s="27">
        <v>14</v>
      </c>
      <c r="C23" s="27">
        <v>11</v>
      </c>
      <c r="D23" s="27" t="s">
        <v>555</v>
      </c>
      <c r="E23" s="96" t="s">
        <v>556</v>
      </c>
      <c r="F23" s="96" t="s">
        <v>56</v>
      </c>
      <c r="G23" s="27" t="s">
        <v>603</v>
      </c>
      <c r="H23" s="27">
        <v>11</v>
      </c>
      <c r="I23" s="27" t="s">
        <v>555</v>
      </c>
      <c r="J23" s="27" t="s">
        <v>558</v>
      </c>
      <c r="K23" s="96" t="s">
        <v>604</v>
      </c>
      <c r="L23" s="96"/>
      <c r="M23" s="96" t="s">
        <v>605</v>
      </c>
      <c r="N23" s="96" t="s">
        <v>66</v>
      </c>
      <c r="O23" s="96" t="s">
        <v>606</v>
      </c>
      <c r="P23" s="96" t="s">
        <v>71</v>
      </c>
      <c r="Q23" s="96" t="s">
        <v>59</v>
      </c>
      <c r="R23" s="96"/>
      <c r="S23" s="158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96"/>
      <c r="AU23" s="96"/>
      <c r="AV23" s="96"/>
      <c r="AW23" s="96"/>
      <c r="AX23" s="96"/>
      <c r="AY23" s="96"/>
      <c r="AZ23" s="96"/>
      <c r="BA23" s="96"/>
      <c r="BB23" s="96"/>
      <c r="BC23" s="96"/>
      <c r="BD23" s="96"/>
      <c r="BE23" s="96"/>
      <c r="BF23" s="96"/>
      <c r="BG23" s="96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/>
      <c r="BS23" s="96"/>
      <c r="BT23" s="96"/>
      <c r="BU23" s="96"/>
    </row>
    <row r="24" spans="1:73" ht="76.5" customHeight="1">
      <c r="A24" s="27"/>
      <c r="B24" s="27">
        <v>15</v>
      </c>
      <c r="C24" s="27">
        <v>11</v>
      </c>
      <c r="D24" s="27" t="s">
        <v>555</v>
      </c>
      <c r="E24" s="96" t="s">
        <v>556</v>
      </c>
      <c r="F24" s="96" t="s">
        <v>56</v>
      </c>
      <c r="G24" s="27" t="s">
        <v>607</v>
      </c>
      <c r="H24" s="27">
        <v>11</v>
      </c>
      <c r="I24" s="27" t="s">
        <v>555</v>
      </c>
      <c r="J24" s="27" t="s">
        <v>558</v>
      </c>
      <c r="K24" s="96" t="s">
        <v>608</v>
      </c>
      <c r="L24" s="96"/>
      <c r="M24" s="96" t="s">
        <v>609</v>
      </c>
      <c r="N24" s="96" t="s">
        <v>64</v>
      </c>
      <c r="O24" s="96" t="s">
        <v>610</v>
      </c>
      <c r="P24" s="96"/>
      <c r="Q24" s="96" t="s">
        <v>63</v>
      </c>
      <c r="R24" s="96"/>
      <c r="S24" s="158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/>
      <c r="AS24" s="96"/>
      <c r="AT24" s="96"/>
      <c r="AU24" s="96"/>
      <c r="AV24" s="96"/>
      <c r="AW24" s="96"/>
      <c r="AX24" s="96"/>
      <c r="AY24" s="96"/>
      <c r="AZ24" s="96"/>
      <c r="BA24" s="96"/>
      <c r="BB24" s="96"/>
      <c r="BC24" s="96"/>
      <c r="BD24" s="96"/>
      <c r="BE24" s="96"/>
      <c r="BF24" s="96"/>
      <c r="BG24" s="96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/>
      <c r="BS24" s="96"/>
      <c r="BT24" s="96"/>
      <c r="BU24" s="96"/>
    </row>
    <row r="25" spans="1:73" ht="72" customHeight="1">
      <c r="A25" s="27"/>
      <c r="B25" s="27">
        <v>16</v>
      </c>
      <c r="C25" s="27">
        <v>11</v>
      </c>
      <c r="D25" s="27" t="s">
        <v>555</v>
      </c>
      <c r="E25" s="96" t="s">
        <v>556</v>
      </c>
      <c r="F25" s="96" t="s">
        <v>56</v>
      </c>
      <c r="G25" s="27" t="s">
        <v>611</v>
      </c>
      <c r="H25" s="27">
        <v>11</v>
      </c>
      <c r="I25" s="27" t="s">
        <v>555</v>
      </c>
      <c r="J25" s="27" t="s">
        <v>558</v>
      </c>
      <c r="K25" s="96" t="s">
        <v>612</v>
      </c>
      <c r="L25" s="96"/>
      <c r="M25" s="96" t="s">
        <v>594</v>
      </c>
      <c r="N25" s="96"/>
      <c r="O25" s="96" t="s">
        <v>595</v>
      </c>
      <c r="P25" s="96"/>
      <c r="Q25" s="96" t="s">
        <v>59</v>
      </c>
      <c r="R25" s="96"/>
      <c r="S25" s="158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96"/>
      <c r="AQ25" s="96"/>
      <c r="AR25" s="96"/>
      <c r="AS25" s="96"/>
      <c r="AT25" s="96"/>
      <c r="AU25" s="96"/>
      <c r="AV25" s="96"/>
      <c r="AW25" s="96"/>
      <c r="AX25" s="96"/>
      <c r="AY25" s="96"/>
      <c r="AZ25" s="96"/>
      <c r="BA25" s="96"/>
      <c r="BB25" s="96"/>
      <c r="BC25" s="96"/>
      <c r="BD25" s="96"/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  <c r="BT25" s="96"/>
      <c r="BU25" s="96"/>
    </row>
    <row r="26" spans="1:73" ht="15.75" customHeight="1">
      <c r="A26" s="27"/>
      <c r="B26" s="27"/>
      <c r="C26" s="27"/>
      <c r="D26" s="27"/>
      <c r="E26" s="27"/>
      <c r="F26" s="27"/>
      <c r="G26" s="27"/>
      <c r="H26" s="27"/>
      <c r="I26" s="27"/>
      <c r="J26" s="96"/>
      <c r="K26" s="96"/>
      <c r="L26" s="96"/>
      <c r="M26" s="96"/>
      <c r="N26" s="96"/>
      <c r="O26" s="96"/>
      <c r="P26" s="96"/>
      <c r="Q26" s="96"/>
      <c r="R26" s="96"/>
      <c r="S26" s="158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6"/>
      <c r="AR26" s="96"/>
      <c r="AS26" s="96"/>
      <c r="AT26" s="96"/>
      <c r="AU26" s="96"/>
      <c r="AV26" s="96"/>
      <c r="AW26" s="96"/>
      <c r="AX26" s="96"/>
      <c r="AY26" s="96"/>
      <c r="AZ26" s="96"/>
      <c r="BA26" s="96"/>
      <c r="BB26" s="96"/>
      <c r="BC26" s="96"/>
      <c r="BD26" s="96"/>
      <c r="BE26" s="96"/>
      <c r="BF26" s="96"/>
      <c r="BG26" s="96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/>
      <c r="BS26" s="96"/>
      <c r="BT26" s="96"/>
      <c r="BU26" s="96"/>
    </row>
    <row r="27" spans="1:73" ht="15.75" customHeight="1">
      <c r="A27" s="27"/>
      <c r="B27" s="27"/>
      <c r="C27" s="27"/>
      <c r="D27" s="27"/>
      <c r="E27" s="27"/>
      <c r="F27" s="27"/>
      <c r="G27" s="27"/>
      <c r="H27" s="27"/>
      <c r="I27" s="27"/>
      <c r="J27" s="96"/>
      <c r="K27" s="96"/>
      <c r="L27" s="96"/>
      <c r="M27" s="96"/>
      <c r="N27" s="96"/>
      <c r="O27" s="96"/>
      <c r="P27" s="96"/>
      <c r="Q27" s="96"/>
      <c r="R27" s="96"/>
      <c r="S27" s="158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  <c r="AU27" s="96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  <c r="BT27" s="96"/>
      <c r="BU27" s="96"/>
    </row>
    <row r="28" spans="1:73" ht="15.75" customHeight="1">
      <c r="A28" s="27"/>
      <c r="B28" s="27"/>
      <c r="C28" s="27"/>
      <c r="D28" s="27"/>
      <c r="E28" s="27"/>
      <c r="F28" s="27"/>
      <c r="G28" s="27"/>
      <c r="H28" s="27"/>
      <c r="I28" s="27"/>
      <c r="J28" s="96"/>
      <c r="K28" s="96"/>
      <c r="L28" s="96"/>
      <c r="M28" s="96"/>
      <c r="N28" s="96"/>
      <c r="O28" s="96"/>
      <c r="P28" s="96"/>
      <c r="Q28" s="96"/>
      <c r="R28" s="96"/>
      <c r="S28" s="158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  <c r="AU28" s="96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  <c r="BT28" s="96"/>
      <c r="BU28" s="96"/>
    </row>
    <row r="29" spans="1:73" ht="15.75" customHeight="1">
      <c r="A29" s="27"/>
      <c r="B29" s="27"/>
      <c r="C29" s="27"/>
      <c r="D29" s="27"/>
      <c r="E29" s="27"/>
      <c r="F29" s="27"/>
      <c r="G29" s="27"/>
      <c r="H29" s="27"/>
      <c r="I29" s="27"/>
      <c r="J29" s="96"/>
      <c r="K29" s="96"/>
      <c r="L29" s="96"/>
      <c r="M29" s="96"/>
      <c r="N29" s="96"/>
      <c r="O29" s="96"/>
      <c r="P29" s="96"/>
      <c r="Q29" s="96"/>
      <c r="R29" s="96"/>
      <c r="S29" s="158"/>
      <c r="T29" s="96"/>
      <c r="U29" s="96"/>
      <c r="V29" s="96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6"/>
      <c r="AR29" s="96"/>
      <c r="AS29" s="96"/>
      <c r="AT29" s="96"/>
      <c r="AU29" s="96"/>
      <c r="AV29" s="96"/>
      <c r="AW29" s="96"/>
      <c r="AX29" s="96"/>
      <c r="AY29" s="96"/>
      <c r="AZ29" s="96"/>
      <c r="BA29" s="96"/>
      <c r="BB29" s="96"/>
      <c r="BC29" s="96"/>
      <c r="BD29" s="96"/>
      <c r="BE29" s="96"/>
      <c r="BF29" s="96"/>
      <c r="BG29" s="96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/>
      <c r="BS29" s="96"/>
      <c r="BT29" s="96"/>
      <c r="BU29" s="96"/>
    </row>
    <row r="30" spans="1:73" ht="15.75" customHeight="1">
      <c r="A30" s="27"/>
      <c r="B30" s="27"/>
      <c r="C30" s="27"/>
      <c r="D30" s="27"/>
      <c r="E30" s="27"/>
      <c r="F30" s="27"/>
      <c r="G30" s="27"/>
      <c r="H30" s="27"/>
      <c r="I30" s="27"/>
      <c r="J30" s="96"/>
      <c r="K30" s="96"/>
      <c r="L30" s="96"/>
      <c r="M30" s="96"/>
      <c r="N30" s="96"/>
      <c r="O30" s="96"/>
      <c r="P30" s="96"/>
      <c r="Q30" s="96"/>
      <c r="R30" s="96"/>
      <c r="S30" s="158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96"/>
      <c r="AS30" s="96"/>
      <c r="AT30" s="96"/>
      <c r="AU30" s="96"/>
      <c r="AV30" s="96"/>
      <c r="AW30" s="96"/>
      <c r="AX30" s="96"/>
      <c r="AY30" s="96"/>
      <c r="AZ30" s="96"/>
      <c r="BA30" s="96"/>
      <c r="BB30" s="96"/>
      <c r="BC30" s="96"/>
      <c r="BD30" s="96"/>
      <c r="BE30" s="96"/>
      <c r="BF30" s="96"/>
      <c r="BG30" s="96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/>
      <c r="BS30" s="96"/>
      <c r="BT30" s="96"/>
      <c r="BU30" s="96"/>
    </row>
    <row r="31" spans="1:73" ht="15.75" customHeight="1">
      <c r="A31" s="27"/>
      <c r="B31" s="27"/>
      <c r="C31" s="27"/>
      <c r="D31" s="27"/>
      <c r="E31" s="27"/>
      <c r="F31" s="27"/>
      <c r="G31" s="27"/>
      <c r="H31" s="27"/>
      <c r="I31" s="27"/>
      <c r="J31" s="96"/>
      <c r="K31" s="96"/>
      <c r="L31" s="96"/>
      <c r="M31" s="96"/>
      <c r="N31" s="96"/>
      <c r="O31" s="96"/>
      <c r="P31" s="96"/>
      <c r="Q31" s="96"/>
      <c r="R31" s="96"/>
      <c r="S31" s="158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  <c r="AU31" s="96"/>
      <c r="AV31" s="96"/>
      <c r="AW31" s="96"/>
      <c r="AX31" s="96"/>
      <c r="AY31" s="96"/>
      <c r="AZ31" s="96"/>
      <c r="BA31" s="96"/>
      <c r="BB31" s="96"/>
      <c r="BC31" s="96"/>
      <c r="BD31" s="96"/>
      <c r="BE31" s="96"/>
      <c r="BF31" s="96"/>
      <c r="BG31" s="96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/>
      <c r="BS31" s="96"/>
      <c r="BT31" s="96"/>
      <c r="BU31" s="96"/>
    </row>
    <row r="32" spans="1:73" ht="15.75" customHeight="1">
      <c r="A32" s="27"/>
      <c r="B32" s="27"/>
      <c r="C32" s="27"/>
      <c r="D32" s="27"/>
      <c r="E32" s="27"/>
      <c r="F32" s="27"/>
      <c r="G32" s="27"/>
      <c r="H32" s="27"/>
      <c r="I32" s="27"/>
      <c r="J32" s="96"/>
      <c r="K32" s="96"/>
      <c r="L32" s="96"/>
      <c r="M32" s="96"/>
      <c r="N32" s="96"/>
      <c r="O32" s="96"/>
      <c r="P32" s="96"/>
      <c r="Q32" s="96"/>
      <c r="R32" s="96"/>
      <c r="S32" s="158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  <c r="AU32" s="96"/>
      <c r="AV32" s="96"/>
      <c r="AW32" s="96"/>
      <c r="AX32" s="96"/>
      <c r="AY32" s="96"/>
      <c r="AZ32" s="96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</row>
    <row r="33" spans="1:7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158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</row>
    <row r="34" spans="1:73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158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96"/>
      <c r="AU34" s="96"/>
      <c r="AV34" s="96"/>
      <c r="AW34" s="96"/>
      <c r="AX34" s="96"/>
      <c r="AY34" s="96"/>
      <c r="AZ34" s="96"/>
      <c r="BA34" s="96"/>
      <c r="BB34" s="96"/>
      <c r="BC34" s="96"/>
      <c r="BD34" s="96"/>
      <c r="BE34" s="96"/>
      <c r="BF34" s="96"/>
      <c r="BG34" s="96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/>
      <c r="BS34" s="96"/>
      <c r="BT34" s="96"/>
      <c r="BU34" s="96"/>
    </row>
    <row r="35" spans="1:73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158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6"/>
      <c r="BA35" s="96"/>
      <c r="BB35" s="96"/>
      <c r="BC35" s="96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</row>
    <row r="36" spans="1:73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158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</row>
    <row r="37" spans="1:73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158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6"/>
      <c r="BA37" s="96"/>
      <c r="BB37" s="96"/>
      <c r="BC37" s="96"/>
      <c r="BD37" s="96"/>
      <c r="BE37" s="96"/>
      <c r="BF37" s="96"/>
      <c r="BG37" s="96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/>
      <c r="BS37" s="96"/>
      <c r="BT37" s="96"/>
      <c r="BU37" s="96"/>
    </row>
    <row r="38" spans="1:73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158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6"/>
      <c r="BA38" s="96"/>
      <c r="BB38" s="96"/>
      <c r="BC38" s="96"/>
      <c r="BD38" s="96"/>
      <c r="BE38" s="96"/>
      <c r="BF38" s="96"/>
      <c r="BG38" s="96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/>
      <c r="BS38" s="96"/>
      <c r="BT38" s="96"/>
      <c r="BU38" s="96"/>
    </row>
    <row r="39" spans="1:73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158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  <c r="AX39" s="96"/>
      <c r="AY39" s="96"/>
      <c r="AZ39" s="96"/>
      <c r="BA39" s="96"/>
      <c r="BB39" s="96"/>
      <c r="BC39" s="96"/>
      <c r="BD39" s="96"/>
      <c r="BE39" s="96"/>
      <c r="BF39" s="96"/>
      <c r="BG39" s="96"/>
      <c r="BH39" s="96"/>
      <c r="BI39" s="96"/>
      <c r="BJ39" s="96"/>
      <c r="BK39" s="96"/>
      <c r="BL39" s="96"/>
      <c r="BM39" s="96"/>
      <c r="BN39" s="96"/>
      <c r="BO39" s="96"/>
      <c r="BP39" s="96"/>
      <c r="BQ39" s="96"/>
      <c r="BR39" s="96"/>
      <c r="BS39" s="96"/>
      <c r="BT39" s="96"/>
      <c r="BU39" s="96"/>
    </row>
    <row r="40" spans="1:73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158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96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/>
      <c r="BS40" s="96"/>
      <c r="BT40" s="96"/>
      <c r="BU40" s="96"/>
    </row>
    <row r="41" spans="1:73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158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  <c r="AX41" s="96"/>
      <c r="AY41" s="96"/>
      <c r="AZ41" s="96"/>
      <c r="BA41" s="96"/>
      <c r="BB41" s="96"/>
      <c r="BC41" s="96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</row>
    <row r="42" spans="1:73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158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  <c r="AX42" s="96"/>
      <c r="AY42" s="96"/>
      <c r="AZ42" s="96"/>
      <c r="BA42" s="96"/>
      <c r="BB42" s="96"/>
      <c r="BC42" s="96"/>
      <c r="BD42" s="96"/>
      <c r="BE42" s="96"/>
      <c r="BF42" s="96"/>
      <c r="BG42" s="96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/>
      <c r="BS42" s="96"/>
      <c r="BT42" s="96"/>
      <c r="BU42" s="96"/>
    </row>
    <row r="43" spans="1:7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158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6"/>
      <c r="AR43" s="96"/>
      <c r="AS43" s="96"/>
      <c r="AT43" s="96"/>
      <c r="AU43" s="96"/>
      <c r="AV43" s="96"/>
      <c r="AW43" s="96"/>
      <c r="AX43" s="96"/>
      <c r="AY43" s="96"/>
      <c r="AZ43" s="96"/>
      <c r="BA43" s="96"/>
      <c r="BB43" s="96"/>
      <c r="BC43" s="96"/>
      <c r="BD43" s="96"/>
      <c r="BE43" s="96"/>
      <c r="BF43" s="96"/>
      <c r="BG43" s="96"/>
      <c r="BH43" s="96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</row>
    <row r="44" spans="1:73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158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</row>
    <row r="45" spans="1:73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158"/>
      <c r="T45" s="96"/>
      <c r="U45" s="96"/>
      <c r="V45" s="96"/>
      <c r="W45" s="96"/>
      <c r="X45" s="96"/>
      <c r="Y45" s="96"/>
      <c r="Z45" s="96"/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  <c r="AL45" s="96"/>
      <c r="AM45" s="96"/>
      <c r="AN45" s="96"/>
      <c r="AO45" s="96"/>
      <c r="AP45" s="96"/>
      <c r="AQ45" s="96"/>
      <c r="AR45" s="96"/>
      <c r="AS45" s="96"/>
      <c r="AT45" s="96"/>
      <c r="AU45" s="96"/>
      <c r="AV45" s="96"/>
      <c r="AW45" s="96"/>
      <c r="AX45" s="96"/>
      <c r="AY45" s="96"/>
      <c r="AZ45" s="96"/>
      <c r="BA45" s="96"/>
      <c r="BB45" s="96"/>
      <c r="BC45" s="96"/>
      <c r="BD45" s="96"/>
      <c r="BE45" s="96"/>
      <c r="BF45" s="96"/>
      <c r="BG45" s="96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/>
      <c r="BS45" s="96"/>
      <c r="BT45" s="96"/>
      <c r="BU45" s="96"/>
    </row>
    <row r="46" spans="1:73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158"/>
      <c r="T46" s="96"/>
      <c r="U46" s="96"/>
      <c r="V46" s="96"/>
      <c r="W46" s="96"/>
      <c r="X46" s="96"/>
      <c r="Y46" s="96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96"/>
      <c r="AW46" s="96"/>
      <c r="AX46" s="96"/>
      <c r="AY46" s="96"/>
      <c r="AZ46" s="96"/>
      <c r="BA46" s="96"/>
      <c r="BB46" s="96"/>
      <c r="BC46" s="96"/>
      <c r="BD46" s="96"/>
      <c r="BE46" s="96"/>
      <c r="BF46" s="96"/>
      <c r="BG46" s="96"/>
      <c r="BH46" s="96"/>
      <c r="BI46" s="96"/>
      <c r="BJ46" s="96"/>
      <c r="BK46" s="96"/>
      <c r="BL46" s="96"/>
      <c r="BM46" s="96"/>
      <c r="BN46" s="96"/>
      <c r="BO46" s="96"/>
      <c r="BP46" s="96"/>
      <c r="BQ46" s="96"/>
      <c r="BR46" s="96"/>
      <c r="BS46" s="96"/>
      <c r="BT46" s="96"/>
      <c r="BU46" s="96"/>
    </row>
    <row r="47" spans="1:73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158"/>
      <c r="T47" s="96"/>
      <c r="U47" s="96"/>
      <c r="V47" s="96"/>
      <c r="W47" s="96"/>
      <c r="X47" s="96"/>
      <c r="Y47" s="96"/>
      <c r="Z47" s="96"/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  <c r="AL47" s="96"/>
      <c r="AM47" s="96"/>
      <c r="AN47" s="96"/>
      <c r="AO47" s="96"/>
      <c r="AP47" s="96"/>
      <c r="AQ47" s="96"/>
      <c r="AR47" s="96"/>
      <c r="AS47" s="96"/>
      <c r="AT47" s="96"/>
      <c r="AU47" s="96"/>
      <c r="AV47" s="96"/>
      <c r="AW47" s="96"/>
      <c r="AX47" s="96"/>
      <c r="AY47" s="96"/>
      <c r="AZ47" s="96"/>
      <c r="BA47" s="96"/>
      <c r="BB47" s="96"/>
      <c r="BC47" s="96"/>
      <c r="BD47" s="96"/>
      <c r="BE47" s="96"/>
      <c r="BF47" s="96"/>
      <c r="BG47" s="96"/>
      <c r="BH47" s="96"/>
      <c r="BI47" s="96"/>
      <c r="BJ47" s="96"/>
      <c r="BK47" s="96"/>
      <c r="BL47" s="96"/>
      <c r="BM47" s="96"/>
      <c r="BN47" s="96"/>
      <c r="BO47" s="96"/>
      <c r="BP47" s="96"/>
      <c r="BQ47" s="96"/>
      <c r="BR47" s="96"/>
      <c r="BS47" s="96"/>
      <c r="BT47" s="96"/>
      <c r="BU47" s="96"/>
    </row>
    <row r="48" spans="1:73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158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/>
      <c r="BS48" s="96"/>
      <c r="BT48" s="96"/>
      <c r="BU48" s="96"/>
    </row>
    <row r="49" spans="1:73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158"/>
      <c r="T49" s="96"/>
      <c r="U49" s="96"/>
      <c r="V49" s="96"/>
      <c r="W49" s="96"/>
      <c r="X49" s="96"/>
      <c r="Y49" s="96"/>
      <c r="Z49" s="96"/>
      <c r="AA49" s="96"/>
      <c r="AB49" s="96"/>
      <c r="AC49" s="96"/>
      <c r="AD49" s="96"/>
      <c r="AE49" s="96"/>
      <c r="AF49" s="96"/>
      <c r="AG49" s="96"/>
      <c r="AH49" s="96"/>
      <c r="AI49" s="96"/>
      <c r="AJ49" s="96"/>
      <c r="AK49" s="96"/>
      <c r="AL49" s="96"/>
      <c r="AM49" s="96"/>
      <c r="AN49" s="96"/>
      <c r="AO49" s="96"/>
      <c r="AP49" s="96"/>
      <c r="AQ49" s="96"/>
      <c r="AR49" s="96"/>
      <c r="AS49" s="96"/>
      <c r="AT49" s="96"/>
      <c r="AU49" s="96"/>
      <c r="AV49" s="96"/>
      <c r="AW49" s="96"/>
      <c r="AX49" s="96"/>
      <c r="AY49" s="96"/>
      <c r="AZ49" s="96"/>
      <c r="BA49" s="96"/>
      <c r="BB49" s="96"/>
      <c r="BC49" s="96"/>
      <c r="BD49" s="96"/>
      <c r="BE49" s="96"/>
      <c r="BF49" s="96"/>
      <c r="BG49" s="96"/>
      <c r="BH49" s="96"/>
      <c r="BI49" s="96"/>
      <c r="BJ49" s="96"/>
      <c r="BK49" s="96"/>
      <c r="BL49" s="96"/>
      <c r="BM49" s="96"/>
      <c r="BN49" s="96"/>
      <c r="BO49" s="96"/>
      <c r="BP49" s="96"/>
      <c r="BQ49" s="96"/>
      <c r="BR49" s="96"/>
      <c r="BS49" s="96"/>
      <c r="BT49" s="96"/>
      <c r="BU49" s="96"/>
    </row>
    <row r="50" spans="1:73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158"/>
      <c r="T50" s="96"/>
      <c r="U50" s="96"/>
      <c r="V50" s="96"/>
      <c r="W50" s="96"/>
      <c r="X50" s="96"/>
      <c r="Y50" s="96"/>
      <c r="Z50" s="96"/>
      <c r="AA50" s="96"/>
      <c r="AB50" s="96"/>
      <c r="AC50" s="96"/>
      <c r="AD50" s="96"/>
      <c r="AE50" s="96"/>
      <c r="AF50" s="96"/>
      <c r="AG50" s="96"/>
      <c r="AH50" s="96"/>
      <c r="AI50" s="96"/>
      <c r="AJ50" s="96"/>
      <c r="AK50" s="96"/>
      <c r="AL50" s="96"/>
      <c r="AM50" s="96"/>
      <c r="AN50" s="96"/>
      <c r="AO50" s="96"/>
      <c r="AP50" s="96"/>
      <c r="AQ50" s="96"/>
      <c r="AR50" s="96"/>
      <c r="AS50" s="96"/>
      <c r="AT50" s="96"/>
      <c r="AU50" s="96"/>
      <c r="AV50" s="96"/>
      <c r="AW50" s="96"/>
      <c r="AX50" s="96"/>
      <c r="AY50" s="96"/>
      <c r="AZ50" s="96"/>
      <c r="BA50" s="96"/>
      <c r="BB50" s="96"/>
      <c r="BC50" s="96"/>
      <c r="BD50" s="96"/>
      <c r="BE50" s="96"/>
      <c r="BF50" s="96"/>
      <c r="BG50" s="96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/>
      <c r="BS50" s="96"/>
      <c r="BT50" s="96"/>
      <c r="BU50" s="96"/>
    </row>
    <row r="51" spans="1:73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158"/>
      <c r="T51" s="96"/>
      <c r="U51" s="96"/>
      <c r="V51" s="96"/>
      <c r="W51" s="96"/>
      <c r="X51" s="96"/>
      <c r="Y51" s="96"/>
      <c r="Z51" s="96"/>
      <c r="AA51" s="96"/>
      <c r="AB51" s="96"/>
      <c r="AC51" s="96"/>
      <c r="AD51" s="96"/>
      <c r="AE51" s="96"/>
      <c r="AF51" s="96"/>
      <c r="AG51" s="96"/>
      <c r="AH51" s="96"/>
      <c r="AI51" s="96"/>
      <c r="AJ51" s="96"/>
      <c r="AK51" s="96"/>
      <c r="AL51" s="96"/>
      <c r="AM51" s="96"/>
      <c r="AN51" s="96"/>
      <c r="AO51" s="96"/>
      <c r="AP51" s="96"/>
      <c r="AQ51" s="96"/>
      <c r="AR51" s="96"/>
      <c r="AS51" s="96"/>
      <c r="AT51" s="96"/>
      <c r="AU51" s="96"/>
      <c r="AV51" s="96"/>
      <c r="AW51" s="96"/>
      <c r="AX51" s="96"/>
      <c r="AY51" s="96"/>
      <c r="AZ51" s="96"/>
      <c r="BA51" s="96"/>
      <c r="BB51" s="96"/>
      <c r="BC51" s="96"/>
      <c r="BD51" s="96"/>
      <c r="BE51" s="96"/>
      <c r="BF51" s="96"/>
      <c r="BG51" s="96"/>
      <c r="BH51" s="96"/>
      <c r="BI51" s="96"/>
      <c r="BJ51" s="96"/>
      <c r="BK51" s="96"/>
      <c r="BL51" s="96"/>
      <c r="BM51" s="96"/>
      <c r="BN51" s="96"/>
      <c r="BO51" s="96"/>
      <c r="BP51" s="96"/>
      <c r="BQ51" s="96"/>
      <c r="BR51" s="96"/>
      <c r="BS51" s="96"/>
      <c r="BT51" s="96"/>
      <c r="BU51" s="96"/>
    </row>
    <row r="52" spans="1:73" ht="15.7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8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</row>
    <row r="53" spans="1:73" ht="15.7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8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</row>
    <row r="54" spans="1:73" ht="15.7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8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</row>
    <row r="55" spans="1:73" ht="15.7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8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</row>
    <row r="56" spans="1:73" ht="15.7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8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</row>
    <row r="57" spans="1:73" ht="15.7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8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</row>
    <row r="58" spans="1:73" ht="15.7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8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</row>
    <row r="59" spans="1:73" ht="15.7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8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</row>
    <row r="60" spans="1:73" ht="15.7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8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</row>
    <row r="61" spans="1:73" ht="15.7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8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</row>
    <row r="62" spans="1:73" ht="15.7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8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</row>
    <row r="63" spans="1:73" ht="15.7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8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</row>
    <row r="64" spans="1:73" ht="15.7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8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</row>
    <row r="65" spans="1:73" ht="15.7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8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</row>
    <row r="66" spans="1:73" ht="15.7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8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</row>
    <row r="67" spans="1:73" ht="15.7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8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</row>
    <row r="68" spans="1:73" ht="15.7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8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</row>
    <row r="69" spans="1:73" ht="15.7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8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</row>
    <row r="70" spans="1:73" ht="15.7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8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</row>
    <row r="71" spans="1:73" ht="15.7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8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</row>
    <row r="72" spans="1:73" ht="15.7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8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</row>
    <row r="73" spans="1:73" ht="15.7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8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</row>
    <row r="74" spans="1:73" ht="15.7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8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</row>
    <row r="75" spans="1:73" ht="15.7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8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</row>
    <row r="76" spans="1:73" ht="15.7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8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</row>
    <row r="77" spans="1:73" ht="15.7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8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</row>
    <row r="78" spans="1:73" ht="15.7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8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</row>
    <row r="79" spans="1:73" ht="15.7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8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</row>
    <row r="80" spans="1:73" ht="15.7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8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</row>
    <row r="81" spans="1:73" ht="15.7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8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</row>
    <row r="82" spans="1:73" ht="15.7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8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</row>
    <row r="83" spans="1:73" ht="15.7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8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</row>
    <row r="84" spans="1:73" ht="15.7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8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</row>
    <row r="85" spans="1:73" ht="15.7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8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</row>
    <row r="86" spans="1:73" ht="15.7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8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</row>
    <row r="87" spans="1:73" ht="15.7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8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</row>
    <row r="88" spans="1:73" ht="15.7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8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</row>
    <row r="89" spans="1:73" ht="15.7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8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</row>
    <row r="90" spans="1:73" ht="15.7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8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</row>
    <row r="91" spans="1:73" ht="15.7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8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</row>
    <row r="92" spans="1:73" ht="15.7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8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</row>
    <row r="93" spans="1:73" ht="15.7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8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</row>
    <row r="94" spans="1:73" ht="15.7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8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</row>
    <row r="95" spans="1:73" ht="15.7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8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</row>
    <row r="96" spans="1:73" ht="15.7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8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</row>
    <row r="97" spans="1:73" ht="15.7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8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</row>
    <row r="98" spans="1:73" ht="15.7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8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</row>
    <row r="99" spans="1:73" ht="15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8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</row>
    <row r="100" spans="1:73" ht="15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8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</row>
    <row r="101" spans="1:73" ht="15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8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</row>
    <row r="102" spans="1:73" ht="15.7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8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</row>
    <row r="103" spans="1:73" ht="15.7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8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</row>
    <row r="104" spans="1:73" ht="15.7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8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</row>
    <row r="105" spans="1:73" ht="15.7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8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</row>
    <row r="106" spans="1:73" ht="15.7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8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</row>
    <row r="107" spans="1:73" ht="15.7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8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</row>
    <row r="108" spans="1:73" ht="15.7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8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</row>
    <row r="109" spans="1:73" ht="15.7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8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</row>
    <row r="110" spans="1:73" ht="15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8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</row>
    <row r="111" spans="1:73" ht="15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8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</row>
    <row r="112" spans="1:73" ht="15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8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</row>
    <row r="113" spans="1:73" ht="15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8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</row>
    <row r="114" spans="1:73" ht="15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8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</row>
    <row r="115" spans="1:73" ht="15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8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</row>
    <row r="116" spans="1:73" ht="15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8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</row>
    <row r="117" spans="1:73" ht="15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8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</row>
    <row r="118" spans="1:73" ht="15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8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</row>
    <row r="119" spans="1:73" ht="15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8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</row>
    <row r="120" spans="1:73" ht="15.7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8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</row>
    <row r="121" spans="1:73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8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</row>
    <row r="122" spans="1:73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8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</row>
    <row r="123" spans="1:73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8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</row>
    <row r="124" spans="1:73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8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</row>
    <row r="125" spans="1:73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8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</row>
    <row r="126" spans="1:73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8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</row>
    <row r="127" spans="1:73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8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</row>
    <row r="128" spans="1:73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8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</row>
    <row r="129" spans="1:73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8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</row>
    <row r="130" spans="1:73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8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</row>
    <row r="131" spans="1:73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8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</row>
    <row r="132" spans="1:73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8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</row>
    <row r="133" spans="1:73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8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</row>
    <row r="134" spans="1:73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8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</row>
    <row r="135" spans="1:73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8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</row>
    <row r="136" spans="1:73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8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</row>
    <row r="137" spans="1:73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8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</row>
    <row r="138" spans="1:73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8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</row>
    <row r="139" spans="1:73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8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</row>
    <row r="140" spans="1:73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8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</row>
    <row r="141" spans="1:73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8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</row>
    <row r="142" spans="1:73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8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</row>
    <row r="143" spans="1:73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8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</row>
    <row r="144" spans="1:73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8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</row>
    <row r="145" spans="1:73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8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</row>
    <row r="146" spans="1:73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8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</row>
    <row r="147" spans="1:73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8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</row>
    <row r="148" spans="1:73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8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</row>
    <row r="149" spans="1:73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8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</row>
    <row r="150" spans="1:73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8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</row>
    <row r="151" spans="1:73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8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</row>
    <row r="152" spans="1:73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8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</row>
    <row r="153" spans="1:73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8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</row>
    <row r="154" spans="1:73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8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</row>
    <row r="155" spans="1:73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8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</row>
    <row r="156" spans="1:73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8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</row>
    <row r="157" spans="1:73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8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</row>
    <row r="158" spans="1:73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8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</row>
    <row r="159" spans="1:73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8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</row>
    <row r="160" spans="1:73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8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</row>
    <row r="161" spans="1:73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8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</row>
    <row r="162" spans="1:73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8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</row>
    <row r="163" spans="1:73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8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</row>
    <row r="164" spans="1:73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8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</row>
    <row r="165" spans="1:73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8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</row>
    <row r="166" spans="1:73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8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</row>
    <row r="167" spans="1:73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8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</row>
    <row r="168" spans="1:73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8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</row>
    <row r="169" spans="1:73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8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</row>
    <row r="170" spans="1:73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8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</row>
    <row r="171" spans="1:73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8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</row>
    <row r="172" spans="1:73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8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</row>
    <row r="173" spans="1:73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8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</row>
    <row r="174" spans="1:73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8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</row>
    <row r="175" spans="1:73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8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</row>
    <row r="176" spans="1:73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8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</row>
    <row r="177" spans="1:73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8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</row>
    <row r="178" spans="1:73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8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</row>
    <row r="179" spans="1:73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8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</row>
    <row r="180" spans="1:73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8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</row>
    <row r="181" spans="1:73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8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</row>
    <row r="182" spans="1:73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8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</row>
    <row r="183" spans="1:73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8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</row>
    <row r="184" spans="1:73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8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</row>
    <row r="185" spans="1:73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8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</row>
    <row r="186" spans="1:73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8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</row>
    <row r="187" spans="1:73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8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</row>
    <row r="188" spans="1:73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8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</row>
    <row r="189" spans="1:73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8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</row>
    <row r="190" spans="1:73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8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</row>
    <row r="191" spans="1:73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8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</row>
    <row r="192" spans="1:73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8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</row>
    <row r="193" spans="1:73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8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</row>
    <row r="194" spans="1:73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8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</row>
    <row r="195" spans="1:73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8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</row>
    <row r="196" spans="1:73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8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</row>
    <row r="197" spans="1:73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8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</row>
    <row r="198" spans="1:73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8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</row>
    <row r="199" spans="1:73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8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</row>
    <row r="200" spans="1:73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8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</row>
    <row r="201" spans="1:73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8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</row>
    <row r="202" spans="1:73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8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</row>
    <row r="203" spans="1:73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8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</row>
    <row r="204" spans="1:73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8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</row>
    <row r="205" spans="1:73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8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</row>
    <row r="206" spans="1:73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8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</row>
    <row r="207" spans="1:73" ht="15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8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</row>
    <row r="208" spans="1:73" ht="15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8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</row>
    <row r="209" spans="1:73" ht="15.7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8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</row>
    <row r="210" spans="1:73" ht="15.7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8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</row>
    <row r="211" spans="1:73" ht="15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8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</row>
    <row r="212" spans="1:73" ht="15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8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</row>
    <row r="213" spans="1:73" ht="15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8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</row>
    <row r="214" spans="1:73" ht="15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8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</row>
    <row r="215" spans="1:73" ht="15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8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</row>
    <row r="216" spans="1:73" ht="15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8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</row>
    <row r="217" spans="1:73" ht="15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8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</row>
    <row r="218" spans="1:73" ht="15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8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</row>
    <row r="219" spans="1:73" ht="15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8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</row>
    <row r="220" spans="1:73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8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</row>
    <row r="221" spans="1:73" ht="15.7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8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</row>
    <row r="222" spans="1:73" ht="15.7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8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</row>
    <row r="223" spans="1:73" ht="15.7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8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</row>
    <row r="224" spans="1:73" ht="15.7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8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</row>
    <row r="225" spans="1:73" ht="15.7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8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</row>
    <row r="226" spans="1:73" ht="15.75" customHeight="1"/>
    <row r="227" spans="1:73" ht="15.75" customHeight="1"/>
    <row r="228" spans="1:73" ht="15.75" customHeight="1"/>
    <row r="229" spans="1:73" ht="15.75" customHeight="1"/>
    <row r="230" spans="1:73" ht="15.75" customHeight="1"/>
    <row r="231" spans="1:73" ht="15.75" customHeight="1"/>
    <row r="232" spans="1:73" ht="15.75" customHeight="1"/>
    <row r="233" spans="1:73" ht="15.75" customHeight="1"/>
    <row r="234" spans="1:73" ht="15.75" customHeight="1"/>
    <row r="235" spans="1:73" ht="15.75" customHeight="1"/>
    <row r="236" spans="1:73" ht="15.75" customHeight="1"/>
    <row r="237" spans="1:73" ht="15.75" customHeight="1"/>
    <row r="238" spans="1:73" ht="15.75" customHeight="1"/>
    <row r="239" spans="1:73" ht="15.75" customHeight="1"/>
    <row r="240" spans="1:7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BC9:BG9"/>
    <mergeCell ref="BN9:BR9"/>
    <mergeCell ref="AM6:AQ6"/>
    <mergeCell ref="AR6:AU6"/>
    <mergeCell ref="H9:L9"/>
    <mergeCell ref="G11:L11"/>
    <mergeCell ref="M11:R11"/>
    <mergeCell ref="M9:P9"/>
    <mergeCell ref="W9:AA9"/>
    <mergeCell ref="AB9:AD9"/>
    <mergeCell ref="AM9:AQ9"/>
    <mergeCell ref="AR9:AT9"/>
    <mergeCell ref="H6:L6"/>
    <mergeCell ref="M6:R6"/>
    <mergeCell ref="W6:AA6"/>
    <mergeCell ref="AB6:AE6"/>
    <mergeCell ref="AF6:AH6"/>
    <mergeCell ref="BC5:BI5"/>
    <mergeCell ref="BN5:BU5"/>
    <mergeCell ref="AV6:AX6"/>
    <mergeCell ref="BC6:BG6"/>
    <mergeCell ref="BH6:BJ6"/>
    <mergeCell ref="BN6:BR6"/>
    <mergeCell ref="BS6:BU6"/>
    <mergeCell ref="C5:D5"/>
    <mergeCell ref="E5:F5"/>
    <mergeCell ref="G5:R5"/>
    <mergeCell ref="S5:AH5"/>
    <mergeCell ref="AI5:AX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U1000"/>
  <sheetViews>
    <sheetView workbookViewId="0">
      <pane ySplit="7" topLeftCell="A8" activePane="bottomLeft" state="frozen"/>
      <selection pane="bottomLeft" activeCell="B9" sqref="B9"/>
    </sheetView>
  </sheetViews>
  <sheetFormatPr defaultColWidth="12.6640625" defaultRowHeight="15" customHeight="1"/>
  <cols>
    <col min="1" max="1" width="18.6640625" customWidth="1"/>
    <col min="2" max="2" width="7" customWidth="1"/>
    <col min="3" max="3" width="21" customWidth="1"/>
    <col min="4" max="6" width="22" customWidth="1"/>
    <col min="7" max="7" width="56.109375" customWidth="1"/>
    <col min="8" max="8" width="15.44140625" customWidth="1"/>
    <col min="9" max="9" width="19" customWidth="1"/>
    <col min="10" max="10" width="23.109375" customWidth="1"/>
    <col min="11" max="11" width="18.33203125" customWidth="1"/>
    <col min="12" max="12" width="20.33203125" customWidth="1"/>
    <col min="13" max="13" width="17" customWidth="1"/>
    <col min="14" max="14" width="18" customWidth="1"/>
    <col min="15" max="15" width="17.44140625" customWidth="1"/>
    <col min="16" max="16" width="18.109375" customWidth="1"/>
    <col min="17" max="17" width="23.109375" customWidth="1"/>
    <col min="18" max="18" width="25" customWidth="1"/>
    <col min="19" max="19" width="29.33203125" customWidth="1"/>
    <col min="20" max="20" width="31.109375" customWidth="1"/>
    <col min="21" max="22" width="25.109375" customWidth="1"/>
    <col min="23" max="23" width="24.44140625" customWidth="1"/>
    <col min="24" max="24" width="20.44140625" customWidth="1"/>
    <col min="25" max="25" width="21.88671875" customWidth="1"/>
    <col min="26" max="26" width="25" customWidth="1"/>
    <col min="27" max="27" width="24.109375" customWidth="1"/>
    <col min="28" max="28" width="24.88671875" customWidth="1"/>
    <col min="29" max="29" width="24" customWidth="1"/>
    <col min="30" max="30" width="20.6640625" customWidth="1"/>
    <col min="31" max="31" width="24.109375" customWidth="1"/>
    <col min="32" max="32" width="31.33203125" customWidth="1"/>
    <col min="33" max="33" width="24.88671875" customWidth="1"/>
    <col min="34" max="34" width="32.109375" customWidth="1"/>
    <col min="35" max="35" width="33.88671875" customWidth="1"/>
    <col min="36" max="36" width="31.109375" customWidth="1"/>
    <col min="37" max="38" width="25.109375" customWidth="1"/>
    <col min="39" max="39" width="24.109375" customWidth="1"/>
    <col min="40" max="40" width="23.6640625" customWidth="1"/>
    <col min="41" max="41" width="26.33203125" customWidth="1"/>
    <col min="42" max="42" width="25" customWidth="1"/>
    <col min="43" max="43" width="25.33203125" customWidth="1"/>
    <col min="44" max="44" width="25.88671875" customWidth="1"/>
    <col min="45" max="45" width="27.109375" customWidth="1"/>
    <col min="46" max="46" width="25.88671875" customWidth="1"/>
    <col min="47" max="47" width="24.109375" customWidth="1"/>
    <col min="48" max="48" width="29.6640625" customWidth="1"/>
    <col min="49" max="49" width="24.88671875" customWidth="1"/>
    <col min="50" max="50" width="32.109375" customWidth="1"/>
    <col min="51" max="51" width="33.88671875" customWidth="1"/>
    <col min="52" max="52" width="31.109375" customWidth="1"/>
    <col min="53" max="53" width="29.21875" customWidth="1"/>
    <col min="54" max="54" width="25.109375" customWidth="1"/>
    <col min="55" max="55" width="24.109375" customWidth="1"/>
    <col min="56" max="56" width="23.6640625" customWidth="1"/>
    <col min="57" max="57" width="26.33203125" customWidth="1"/>
    <col min="58" max="58" width="25" customWidth="1"/>
    <col min="59" max="59" width="25.33203125" customWidth="1"/>
    <col min="60" max="60" width="27.88671875" customWidth="1"/>
    <col min="61" max="61" width="24.88671875" customWidth="1"/>
    <col min="62" max="62" width="36.44140625" customWidth="1"/>
    <col min="63" max="63" width="31.109375" customWidth="1"/>
    <col min="64" max="65" width="25.109375" customWidth="1"/>
    <col min="66" max="66" width="24.109375" customWidth="1"/>
    <col min="67" max="67" width="23.6640625" customWidth="1"/>
    <col min="68" max="68" width="26.33203125" customWidth="1"/>
    <col min="69" max="69" width="25" customWidth="1"/>
    <col min="70" max="70" width="25.33203125" customWidth="1"/>
    <col min="71" max="71" width="27.88671875" customWidth="1"/>
    <col min="72" max="72" width="24.88671875" customWidth="1"/>
    <col min="73" max="73" width="33.6640625" customWidth="1"/>
  </cols>
  <sheetData>
    <row r="1" spans="1:73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2"/>
      <c r="BQ1" s="2"/>
      <c r="BR1" s="2"/>
      <c r="BS1" s="2"/>
      <c r="BT1" s="2"/>
      <c r="BU1" s="4"/>
    </row>
    <row r="2" spans="1:73" ht="15.7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4"/>
      <c r="BK2" s="2"/>
      <c r="BL2" s="2"/>
      <c r="BM2" s="2"/>
      <c r="BN2" s="2"/>
      <c r="BO2" s="2"/>
      <c r="BP2" s="2"/>
      <c r="BQ2" s="2"/>
      <c r="BR2" s="2"/>
      <c r="BS2" s="2"/>
      <c r="BT2" s="2"/>
      <c r="BU2" s="4"/>
    </row>
    <row r="3" spans="1:7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4"/>
      <c r="BK3" s="2"/>
      <c r="BL3" s="2"/>
      <c r="BM3" s="2"/>
      <c r="BN3" s="2"/>
      <c r="BO3" s="2"/>
      <c r="BP3" s="2"/>
      <c r="BQ3" s="2"/>
      <c r="BR3" s="2"/>
      <c r="BS3" s="2"/>
      <c r="BT3" s="2"/>
      <c r="BU3" s="4"/>
    </row>
    <row r="4" spans="1:73" ht="15.75" customHeight="1">
      <c r="A4" s="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4"/>
      <c r="BK4" s="2"/>
      <c r="BL4" s="2"/>
      <c r="BM4" s="2"/>
      <c r="BN4" s="2"/>
      <c r="BO4" s="2"/>
      <c r="BP4" s="2"/>
      <c r="BQ4" s="2"/>
      <c r="BR4" s="2"/>
      <c r="BS4" s="2"/>
      <c r="BT4" s="2"/>
      <c r="BU4" s="4"/>
    </row>
    <row r="5" spans="1:73" ht="34.5" customHeight="1">
      <c r="A5" s="141"/>
      <c r="B5" s="142"/>
      <c r="C5" s="192" t="s">
        <v>3</v>
      </c>
      <c r="D5" s="167"/>
      <c r="E5" s="168" t="s">
        <v>467</v>
      </c>
      <c r="F5" s="170"/>
      <c r="G5" s="174" t="s">
        <v>468</v>
      </c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7"/>
      <c r="S5" s="175" t="s">
        <v>6</v>
      </c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  <c r="AF5" s="169"/>
      <c r="AG5" s="169"/>
      <c r="AH5" s="167"/>
      <c r="AI5" s="174" t="s">
        <v>7</v>
      </c>
      <c r="AJ5" s="169"/>
      <c r="AK5" s="169"/>
      <c r="AL5" s="169"/>
      <c r="AM5" s="169"/>
      <c r="AN5" s="169"/>
      <c r="AO5" s="169"/>
      <c r="AP5" s="169"/>
      <c r="AQ5" s="169"/>
      <c r="AR5" s="169"/>
      <c r="AS5" s="169"/>
      <c r="AT5" s="169"/>
      <c r="AU5" s="169"/>
      <c r="AV5" s="169"/>
      <c r="AW5" s="169"/>
      <c r="AX5" s="167"/>
      <c r="AY5" s="101"/>
      <c r="AZ5" s="102"/>
      <c r="BA5" s="102"/>
      <c r="BB5" s="102"/>
      <c r="BC5" s="168" t="s">
        <v>8</v>
      </c>
      <c r="BD5" s="169"/>
      <c r="BE5" s="169"/>
      <c r="BF5" s="169"/>
      <c r="BG5" s="169"/>
      <c r="BH5" s="169"/>
      <c r="BI5" s="167"/>
      <c r="BJ5" s="143"/>
      <c r="BK5" s="103"/>
      <c r="BL5" s="103"/>
      <c r="BM5" s="103"/>
      <c r="BN5" s="166" t="s">
        <v>9</v>
      </c>
      <c r="BO5" s="169"/>
      <c r="BP5" s="169"/>
      <c r="BQ5" s="169"/>
      <c r="BR5" s="169"/>
      <c r="BS5" s="169"/>
      <c r="BT5" s="169"/>
      <c r="BU5" s="167"/>
    </row>
    <row r="6" spans="1:73" ht="54.75" customHeight="1">
      <c r="A6" s="53"/>
      <c r="B6" s="104" t="s">
        <v>10</v>
      </c>
      <c r="C6" s="107" t="s">
        <v>11</v>
      </c>
      <c r="D6" s="107" t="s">
        <v>469</v>
      </c>
      <c r="E6" s="108" t="s">
        <v>13</v>
      </c>
      <c r="F6" s="108" t="s">
        <v>14</v>
      </c>
      <c r="G6" s="109" t="s">
        <v>15</v>
      </c>
      <c r="H6" s="174" t="s">
        <v>16</v>
      </c>
      <c r="I6" s="169"/>
      <c r="J6" s="169"/>
      <c r="K6" s="169"/>
      <c r="L6" s="170"/>
      <c r="M6" s="186" t="s">
        <v>17</v>
      </c>
      <c r="N6" s="172"/>
      <c r="O6" s="172"/>
      <c r="P6" s="172"/>
      <c r="Q6" s="172"/>
      <c r="R6" s="173"/>
      <c r="S6" s="57" t="s">
        <v>470</v>
      </c>
      <c r="T6" s="57" t="s">
        <v>471</v>
      </c>
      <c r="U6" s="57" t="s">
        <v>20</v>
      </c>
      <c r="V6" s="57" t="s">
        <v>21</v>
      </c>
      <c r="W6" s="175" t="s">
        <v>22</v>
      </c>
      <c r="X6" s="169"/>
      <c r="Y6" s="169"/>
      <c r="Z6" s="169"/>
      <c r="AA6" s="170"/>
      <c r="AB6" s="175" t="s">
        <v>23</v>
      </c>
      <c r="AC6" s="169"/>
      <c r="AD6" s="169"/>
      <c r="AE6" s="170"/>
      <c r="AF6" s="176" t="s">
        <v>24</v>
      </c>
      <c r="AG6" s="172"/>
      <c r="AH6" s="173"/>
      <c r="AI6" s="110" t="s">
        <v>472</v>
      </c>
      <c r="AJ6" s="110" t="s">
        <v>471</v>
      </c>
      <c r="AK6" s="110" t="s">
        <v>20</v>
      </c>
      <c r="AL6" s="110" t="s">
        <v>21</v>
      </c>
      <c r="AM6" s="174" t="s">
        <v>22</v>
      </c>
      <c r="AN6" s="169"/>
      <c r="AO6" s="169"/>
      <c r="AP6" s="169"/>
      <c r="AQ6" s="170"/>
      <c r="AR6" s="174" t="s">
        <v>23</v>
      </c>
      <c r="AS6" s="169"/>
      <c r="AT6" s="169"/>
      <c r="AU6" s="170"/>
      <c r="AV6" s="186" t="s">
        <v>24</v>
      </c>
      <c r="AW6" s="172"/>
      <c r="AX6" s="173"/>
      <c r="AY6" s="57" t="s">
        <v>473</v>
      </c>
      <c r="AZ6" s="57" t="s">
        <v>474</v>
      </c>
      <c r="BA6" s="57" t="s">
        <v>20</v>
      </c>
      <c r="BB6" s="57" t="s">
        <v>21</v>
      </c>
      <c r="BC6" s="175" t="s">
        <v>22</v>
      </c>
      <c r="BD6" s="169"/>
      <c r="BE6" s="169"/>
      <c r="BF6" s="169"/>
      <c r="BG6" s="170"/>
      <c r="BH6" s="175" t="s">
        <v>30</v>
      </c>
      <c r="BI6" s="169"/>
      <c r="BJ6" s="167"/>
      <c r="BK6" s="110" t="s">
        <v>224</v>
      </c>
      <c r="BL6" s="110" t="s">
        <v>20</v>
      </c>
      <c r="BM6" s="110" t="s">
        <v>21</v>
      </c>
      <c r="BN6" s="174" t="s">
        <v>22</v>
      </c>
      <c r="BO6" s="169"/>
      <c r="BP6" s="169"/>
      <c r="BQ6" s="169"/>
      <c r="BR6" s="170"/>
      <c r="BS6" s="174" t="s">
        <v>30</v>
      </c>
      <c r="BT6" s="169"/>
      <c r="BU6" s="167"/>
    </row>
    <row r="7" spans="1:73" ht="15.75" customHeight="1">
      <c r="A7" s="144"/>
      <c r="B7" s="145"/>
      <c r="C7" s="146"/>
      <c r="D7" s="146"/>
      <c r="E7" s="147"/>
      <c r="F7" s="147"/>
      <c r="G7" s="148"/>
      <c r="H7" s="124" t="s">
        <v>32</v>
      </c>
      <c r="I7" s="124" t="s">
        <v>33</v>
      </c>
      <c r="J7" s="124" t="s">
        <v>34</v>
      </c>
      <c r="K7" s="124" t="s">
        <v>35</v>
      </c>
      <c r="L7" s="117" t="s">
        <v>225</v>
      </c>
      <c r="M7" s="124" t="s">
        <v>37</v>
      </c>
      <c r="N7" s="124" t="s">
        <v>38</v>
      </c>
      <c r="O7" s="124" t="s">
        <v>39</v>
      </c>
      <c r="P7" s="125" t="s">
        <v>40</v>
      </c>
      <c r="Q7" s="124" t="s">
        <v>41</v>
      </c>
      <c r="R7" s="124" t="s">
        <v>42</v>
      </c>
      <c r="S7" s="149"/>
      <c r="T7" s="149"/>
      <c r="U7" s="149"/>
      <c r="V7" s="149"/>
      <c r="W7" s="150" t="s">
        <v>37</v>
      </c>
      <c r="X7" s="150" t="s">
        <v>38</v>
      </c>
      <c r="Y7" s="150" t="s">
        <v>39</v>
      </c>
      <c r="Z7" s="151" t="s">
        <v>40</v>
      </c>
      <c r="AA7" s="151" t="s">
        <v>229</v>
      </c>
      <c r="AB7" s="25" t="s">
        <v>44</v>
      </c>
      <c r="AC7" s="57" t="s">
        <v>45</v>
      </c>
      <c r="AD7" s="151" t="s">
        <v>43</v>
      </c>
      <c r="AE7" s="150" t="s">
        <v>46</v>
      </c>
      <c r="AF7" s="57" t="s">
        <v>44</v>
      </c>
      <c r="AG7" s="57" t="s">
        <v>45</v>
      </c>
      <c r="AH7" s="108" t="s">
        <v>47</v>
      </c>
      <c r="AI7" s="123"/>
      <c r="AJ7" s="123"/>
      <c r="AK7" s="123"/>
      <c r="AL7" s="123"/>
      <c r="AM7" s="124" t="s">
        <v>37</v>
      </c>
      <c r="AN7" s="124" t="s">
        <v>38</v>
      </c>
      <c r="AO7" s="124" t="s">
        <v>39</v>
      </c>
      <c r="AP7" s="125" t="s">
        <v>40</v>
      </c>
      <c r="AQ7" s="125" t="s">
        <v>229</v>
      </c>
      <c r="AR7" s="23" t="s">
        <v>44</v>
      </c>
      <c r="AS7" s="110" t="s">
        <v>45</v>
      </c>
      <c r="AT7" s="125" t="s">
        <v>43</v>
      </c>
      <c r="AU7" s="124" t="s">
        <v>46</v>
      </c>
      <c r="AV7" s="110" t="s">
        <v>44</v>
      </c>
      <c r="AW7" s="110" t="s">
        <v>45</v>
      </c>
      <c r="AX7" s="107" t="s">
        <v>47</v>
      </c>
      <c r="AY7" s="149"/>
      <c r="AZ7" s="149"/>
      <c r="BA7" s="149"/>
      <c r="BB7" s="149"/>
      <c r="BC7" s="150" t="s">
        <v>37</v>
      </c>
      <c r="BD7" s="150" t="s">
        <v>38</v>
      </c>
      <c r="BE7" s="150" t="s">
        <v>39</v>
      </c>
      <c r="BF7" s="151" t="s">
        <v>40</v>
      </c>
      <c r="BG7" s="151" t="s">
        <v>229</v>
      </c>
      <c r="BH7" s="25" t="s">
        <v>51</v>
      </c>
      <c r="BI7" s="57" t="s">
        <v>52</v>
      </c>
      <c r="BJ7" s="81" t="s">
        <v>53</v>
      </c>
      <c r="BK7" s="123"/>
      <c r="BL7" s="123"/>
      <c r="BM7" s="123"/>
      <c r="BN7" s="124" t="s">
        <v>37</v>
      </c>
      <c r="BO7" s="124" t="s">
        <v>38</v>
      </c>
      <c r="BP7" s="124" t="s">
        <v>39</v>
      </c>
      <c r="BQ7" s="125" t="s">
        <v>40</v>
      </c>
      <c r="BR7" s="125" t="s">
        <v>229</v>
      </c>
      <c r="BS7" s="23" t="s">
        <v>51</v>
      </c>
      <c r="BT7" s="110" t="s">
        <v>45</v>
      </c>
      <c r="BU7" s="110" t="s">
        <v>228</v>
      </c>
    </row>
    <row r="8" spans="1:73" ht="85.5" customHeight="1">
      <c r="A8" s="155" t="s">
        <v>232</v>
      </c>
      <c r="B8" s="95"/>
      <c r="C8" s="96" t="s">
        <v>233</v>
      </c>
      <c r="D8" s="96" t="s">
        <v>234</v>
      </c>
      <c r="E8" s="96" t="s">
        <v>235</v>
      </c>
      <c r="F8" s="96" t="s">
        <v>236</v>
      </c>
      <c r="G8" s="96" t="s">
        <v>237</v>
      </c>
      <c r="H8" s="193" t="s">
        <v>238</v>
      </c>
      <c r="I8" s="169"/>
      <c r="J8" s="169"/>
      <c r="K8" s="169"/>
      <c r="L8" s="167"/>
      <c r="M8" s="191" t="s">
        <v>476</v>
      </c>
      <c r="N8" s="169"/>
      <c r="O8" s="169"/>
      <c r="P8" s="167"/>
      <c r="Q8" s="95" t="s">
        <v>240</v>
      </c>
      <c r="R8" s="96" t="s">
        <v>241</v>
      </c>
      <c r="S8" s="96" t="s">
        <v>242</v>
      </c>
      <c r="T8" s="96" t="s">
        <v>477</v>
      </c>
      <c r="U8" s="96" t="s">
        <v>244</v>
      </c>
      <c r="V8" s="96" t="s">
        <v>245</v>
      </c>
      <c r="W8" s="191" t="s">
        <v>478</v>
      </c>
      <c r="X8" s="169"/>
      <c r="Y8" s="169"/>
      <c r="Z8" s="169"/>
      <c r="AA8" s="167"/>
      <c r="AB8" s="191" t="s">
        <v>247</v>
      </c>
      <c r="AC8" s="169"/>
      <c r="AD8" s="167"/>
      <c r="AE8" s="96" t="s">
        <v>248</v>
      </c>
      <c r="AF8" s="96" t="s">
        <v>249</v>
      </c>
      <c r="AG8" s="95" t="s">
        <v>250</v>
      </c>
      <c r="AH8" s="96" t="s">
        <v>251</v>
      </c>
      <c r="AI8" s="96" t="s">
        <v>479</v>
      </c>
      <c r="AJ8" s="96" t="s">
        <v>477</v>
      </c>
      <c r="AK8" s="96" t="s">
        <v>244</v>
      </c>
      <c r="AL8" s="96" t="s">
        <v>245</v>
      </c>
      <c r="AM8" s="191" t="s">
        <v>480</v>
      </c>
      <c r="AN8" s="169"/>
      <c r="AO8" s="169"/>
      <c r="AP8" s="169"/>
      <c r="AQ8" s="167"/>
      <c r="AR8" s="191" t="s">
        <v>247</v>
      </c>
      <c r="AS8" s="169"/>
      <c r="AT8" s="167"/>
      <c r="AU8" s="96" t="s">
        <v>248</v>
      </c>
      <c r="AV8" s="96" t="s">
        <v>249</v>
      </c>
      <c r="AW8" s="95" t="s">
        <v>250</v>
      </c>
      <c r="AX8" s="96" t="s">
        <v>251</v>
      </c>
      <c r="AY8" s="96" t="s">
        <v>252</v>
      </c>
      <c r="AZ8" s="96" t="s">
        <v>481</v>
      </c>
      <c r="BA8" s="96" t="s">
        <v>482</v>
      </c>
      <c r="BB8" s="96" t="s">
        <v>255</v>
      </c>
      <c r="BC8" s="191" t="s">
        <v>483</v>
      </c>
      <c r="BD8" s="169"/>
      <c r="BE8" s="169"/>
      <c r="BF8" s="169"/>
      <c r="BG8" s="167"/>
      <c r="BH8" s="95" t="s">
        <v>266</v>
      </c>
      <c r="BI8" s="95" t="s">
        <v>250</v>
      </c>
      <c r="BJ8" s="96" t="s">
        <v>258</v>
      </c>
      <c r="BK8" s="96" t="s">
        <v>264</v>
      </c>
      <c r="BL8" s="96" t="s">
        <v>260</v>
      </c>
      <c r="BM8" s="96" t="s">
        <v>265</v>
      </c>
      <c r="BN8" s="191" t="s">
        <v>262</v>
      </c>
      <c r="BO8" s="169"/>
      <c r="BP8" s="169"/>
      <c r="BQ8" s="169"/>
      <c r="BR8" s="167"/>
      <c r="BS8" s="95" t="s">
        <v>266</v>
      </c>
      <c r="BT8" s="95" t="s">
        <v>250</v>
      </c>
      <c r="BU8" s="96" t="s">
        <v>263</v>
      </c>
    </row>
    <row r="9" spans="1:73" ht="15.75" customHeight="1">
      <c r="A9" s="155" t="s">
        <v>161</v>
      </c>
      <c r="B9" s="95"/>
      <c r="C9" s="96" t="s">
        <v>162</v>
      </c>
      <c r="D9" s="96" t="s">
        <v>613</v>
      </c>
      <c r="E9" s="96" t="s">
        <v>164</v>
      </c>
      <c r="F9" s="96" t="s">
        <v>165</v>
      </c>
      <c r="G9" s="96" t="s">
        <v>614</v>
      </c>
      <c r="H9" s="96" t="s">
        <v>615</v>
      </c>
      <c r="I9" s="96" t="s">
        <v>616</v>
      </c>
      <c r="J9" s="96" t="s">
        <v>617</v>
      </c>
      <c r="K9" s="96" t="s">
        <v>618</v>
      </c>
      <c r="L9" s="96" t="s">
        <v>619</v>
      </c>
      <c r="M9" s="96" t="s">
        <v>620</v>
      </c>
      <c r="N9" s="96" t="s">
        <v>621</v>
      </c>
      <c r="O9" s="96" t="s">
        <v>622</v>
      </c>
      <c r="P9" s="96" t="s">
        <v>623</v>
      </c>
      <c r="Q9" s="96" t="s">
        <v>624</v>
      </c>
      <c r="R9" s="96" t="s">
        <v>625</v>
      </c>
      <c r="S9" s="35" t="s">
        <v>626</v>
      </c>
      <c r="T9" s="35" t="s">
        <v>627</v>
      </c>
      <c r="U9" s="35" t="s">
        <v>628</v>
      </c>
      <c r="V9" s="35" t="s">
        <v>629</v>
      </c>
      <c r="W9" s="96" t="s">
        <v>630</v>
      </c>
      <c r="X9" s="96" t="s">
        <v>631</v>
      </c>
      <c r="Y9" s="96" t="s">
        <v>632</v>
      </c>
      <c r="Z9" s="96" t="s">
        <v>633</v>
      </c>
      <c r="AA9" s="96" t="s">
        <v>634</v>
      </c>
      <c r="AB9" s="35" t="s">
        <v>635</v>
      </c>
      <c r="AC9" s="35" t="s">
        <v>636</v>
      </c>
      <c r="AD9" s="35" t="s">
        <v>637</v>
      </c>
      <c r="AE9" s="35" t="s">
        <v>638</v>
      </c>
      <c r="AF9" s="35" t="s">
        <v>639</v>
      </c>
      <c r="AG9" s="35" t="s">
        <v>640</v>
      </c>
      <c r="AH9" s="35" t="s">
        <v>641</v>
      </c>
      <c r="AI9" s="35" t="s">
        <v>642</v>
      </c>
      <c r="AJ9" s="35" t="s">
        <v>643</v>
      </c>
      <c r="AK9" s="35" t="s">
        <v>644</v>
      </c>
      <c r="AL9" s="35" t="s">
        <v>645</v>
      </c>
      <c r="AM9" s="96" t="s">
        <v>646</v>
      </c>
      <c r="AN9" s="96" t="s">
        <v>647</v>
      </c>
      <c r="AO9" s="96" t="s">
        <v>648</v>
      </c>
      <c r="AP9" s="96" t="s">
        <v>649</v>
      </c>
      <c r="AQ9" s="96" t="s">
        <v>650</v>
      </c>
      <c r="AR9" s="35" t="s">
        <v>651</v>
      </c>
      <c r="AS9" s="35" t="s">
        <v>652</v>
      </c>
      <c r="AT9" s="35" t="s">
        <v>653</v>
      </c>
      <c r="AU9" s="35" t="s">
        <v>654</v>
      </c>
      <c r="AV9" s="35" t="s">
        <v>655</v>
      </c>
      <c r="AW9" s="35" t="s">
        <v>656</v>
      </c>
      <c r="AX9" s="35" t="s">
        <v>657</v>
      </c>
      <c r="AY9" s="35" t="s">
        <v>658</v>
      </c>
      <c r="AZ9" s="35" t="s">
        <v>659</v>
      </c>
      <c r="BA9" s="35" t="s">
        <v>660</v>
      </c>
      <c r="BB9" s="35" t="s">
        <v>661</v>
      </c>
      <c r="BC9" s="96" t="s">
        <v>662</v>
      </c>
      <c r="BD9" s="96" t="s">
        <v>663</v>
      </c>
      <c r="BE9" s="96" t="s">
        <v>664</v>
      </c>
      <c r="BF9" s="96" t="s">
        <v>665</v>
      </c>
      <c r="BG9" s="96" t="s">
        <v>666</v>
      </c>
      <c r="BH9" s="96" t="s">
        <v>667</v>
      </c>
      <c r="BI9" s="96" t="s">
        <v>668</v>
      </c>
      <c r="BJ9" s="96" t="s">
        <v>669</v>
      </c>
      <c r="BK9" s="35" t="s">
        <v>670</v>
      </c>
      <c r="BL9" s="35" t="s">
        <v>671</v>
      </c>
      <c r="BM9" s="35" t="s">
        <v>672</v>
      </c>
      <c r="BN9" s="96" t="s">
        <v>673</v>
      </c>
      <c r="BO9" s="96" t="s">
        <v>674</v>
      </c>
      <c r="BP9" s="96" t="s">
        <v>675</v>
      </c>
      <c r="BQ9" s="96" t="s">
        <v>676</v>
      </c>
      <c r="BR9" s="96" t="s">
        <v>677</v>
      </c>
      <c r="BS9" s="96" t="s">
        <v>678</v>
      </c>
      <c r="BT9" s="96" t="s">
        <v>679</v>
      </c>
      <c r="BU9" s="96" t="s">
        <v>680</v>
      </c>
    </row>
    <row r="10" spans="1:73" ht="73.5" customHeight="1">
      <c r="A10" s="128" t="s">
        <v>552</v>
      </c>
      <c r="B10" s="159"/>
      <c r="C10" s="28"/>
      <c r="D10" s="28"/>
      <c r="E10" s="28" t="s">
        <v>323</v>
      </c>
      <c r="F10" s="28" t="s">
        <v>323</v>
      </c>
      <c r="G10" s="194" t="s">
        <v>553</v>
      </c>
      <c r="H10" s="195"/>
      <c r="I10" s="195"/>
      <c r="J10" s="195"/>
      <c r="K10" s="195"/>
      <c r="L10" s="196"/>
      <c r="M10" s="194" t="s">
        <v>324</v>
      </c>
      <c r="N10" s="195"/>
      <c r="O10" s="195"/>
      <c r="P10" s="195"/>
      <c r="Q10" s="195"/>
      <c r="R10" s="196"/>
      <c r="S10" s="28" t="s">
        <v>554</v>
      </c>
      <c r="T10" s="28" t="s">
        <v>326</v>
      </c>
      <c r="U10" s="28" t="s">
        <v>326</v>
      </c>
      <c r="V10" s="28" t="s">
        <v>326</v>
      </c>
      <c r="W10" s="28" t="s">
        <v>326</v>
      </c>
      <c r="X10" s="28" t="s">
        <v>326</v>
      </c>
      <c r="Y10" s="29" t="s">
        <v>326</v>
      </c>
      <c r="Z10" s="28" t="s">
        <v>326</v>
      </c>
      <c r="AA10" s="28" t="s">
        <v>326</v>
      </c>
      <c r="AB10" s="28" t="s">
        <v>326</v>
      </c>
      <c r="AC10" s="28" t="s">
        <v>326</v>
      </c>
      <c r="AD10" s="28" t="s">
        <v>326</v>
      </c>
      <c r="AE10" s="28" t="s">
        <v>326</v>
      </c>
      <c r="AF10" s="28" t="s">
        <v>326</v>
      </c>
      <c r="AG10" s="28" t="s">
        <v>326</v>
      </c>
      <c r="AH10" s="28" t="s">
        <v>326</v>
      </c>
      <c r="AI10" s="28" t="s">
        <v>326</v>
      </c>
      <c r="AJ10" s="28" t="s">
        <v>326</v>
      </c>
      <c r="AK10" s="28" t="s">
        <v>326</v>
      </c>
      <c r="AL10" s="28" t="s">
        <v>326</v>
      </c>
      <c r="AM10" s="28" t="s">
        <v>326</v>
      </c>
      <c r="AN10" s="28" t="s">
        <v>326</v>
      </c>
      <c r="AO10" s="28" t="s">
        <v>326</v>
      </c>
      <c r="AP10" s="28" t="s">
        <v>326</v>
      </c>
      <c r="AQ10" s="28" t="s">
        <v>326</v>
      </c>
      <c r="AR10" s="28" t="s">
        <v>326</v>
      </c>
      <c r="AS10" s="28" t="s">
        <v>326</v>
      </c>
      <c r="AT10" s="28" t="s">
        <v>326</v>
      </c>
      <c r="AU10" s="28" t="s">
        <v>326</v>
      </c>
      <c r="AV10" s="28" t="s">
        <v>326</v>
      </c>
      <c r="AW10" s="28" t="s">
        <v>326</v>
      </c>
      <c r="AX10" s="28" t="s">
        <v>326</v>
      </c>
      <c r="AY10" s="28" t="s">
        <v>327</v>
      </c>
      <c r="AZ10" s="28" t="s">
        <v>327</v>
      </c>
      <c r="BA10" s="28" t="s">
        <v>327</v>
      </c>
      <c r="BB10" s="28" t="s">
        <v>327</v>
      </c>
      <c r="BC10" s="28" t="s">
        <v>327</v>
      </c>
      <c r="BD10" s="28" t="s">
        <v>327</v>
      </c>
      <c r="BE10" s="28" t="s">
        <v>327</v>
      </c>
      <c r="BF10" s="28" t="s">
        <v>327</v>
      </c>
      <c r="BG10" s="28" t="s">
        <v>327</v>
      </c>
      <c r="BH10" s="28" t="s">
        <v>327</v>
      </c>
      <c r="BI10" s="28" t="s">
        <v>327</v>
      </c>
      <c r="BJ10" s="28" t="s">
        <v>327</v>
      </c>
      <c r="BK10" s="28" t="s">
        <v>328</v>
      </c>
      <c r="BL10" s="28" t="s">
        <v>328</v>
      </c>
      <c r="BM10" s="28" t="s">
        <v>328</v>
      </c>
      <c r="BN10" s="28" t="s">
        <v>328</v>
      </c>
      <c r="BO10" s="28" t="s">
        <v>328</v>
      </c>
      <c r="BP10" s="28" t="s">
        <v>328</v>
      </c>
      <c r="BQ10" s="28" t="s">
        <v>328</v>
      </c>
      <c r="BR10" s="28" t="s">
        <v>328</v>
      </c>
      <c r="BS10" s="28" t="s">
        <v>328</v>
      </c>
      <c r="BT10" s="28" t="s">
        <v>328</v>
      </c>
      <c r="BU10" s="28" t="s">
        <v>328</v>
      </c>
    </row>
    <row r="11" spans="1:73" ht="57" customHeight="1">
      <c r="A11" s="27"/>
      <c r="B11" s="27"/>
      <c r="C11" s="160" t="s">
        <v>681</v>
      </c>
      <c r="D11" s="160" t="s">
        <v>682</v>
      </c>
      <c r="E11" s="160" t="s">
        <v>683</v>
      </c>
      <c r="F11" s="160" t="s">
        <v>684</v>
      </c>
      <c r="G11" s="161" t="s">
        <v>685</v>
      </c>
      <c r="H11" s="160" t="s">
        <v>686</v>
      </c>
      <c r="I11" s="160" t="s">
        <v>682</v>
      </c>
      <c r="J11" s="160" t="s">
        <v>687</v>
      </c>
      <c r="K11" s="160" t="s">
        <v>688</v>
      </c>
      <c r="L11" s="160" t="s">
        <v>689</v>
      </c>
      <c r="M11" s="160" t="s">
        <v>690</v>
      </c>
      <c r="N11" s="160" t="s">
        <v>691</v>
      </c>
      <c r="O11" s="160" t="s">
        <v>692</v>
      </c>
      <c r="P11" s="160" t="s">
        <v>335</v>
      </c>
      <c r="Q11" s="160" t="s">
        <v>693</v>
      </c>
      <c r="R11" s="160" t="s">
        <v>335</v>
      </c>
      <c r="S11" s="160">
        <v>30</v>
      </c>
      <c r="T11" s="160" t="s">
        <v>694</v>
      </c>
      <c r="U11" s="162">
        <v>12680</v>
      </c>
      <c r="V11" s="160" t="s">
        <v>695</v>
      </c>
      <c r="W11" s="160" t="s">
        <v>690</v>
      </c>
      <c r="X11" s="160" t="s">
        <v>691</v>
      </c>
      <c r="Y11" s="160" t="s">
        <v>692</v>
      </c>
      <c r="Z11" s="160" t="s">
        <v>335</v>
      </c>
      <c r="AA11" s="160" t="s">
        <v>696</v>
      </c>
      <c r="AB11" s="160" t="s">
        <v>697</v>
      </c>
      <c r="AC11" s="160"/>
      <c r="AD11" s="160"/>
      <c r="AE11" s="160" t="s">
        <v>698</v>
      </c>
      <c r="AF11" s="160" t="s">
        <v>699</v>
      </c>
      <c r="AG11" s="160" t="s">
        <v>698</v>
      </c>
      <c r="AH11" s="160" t="s">
        <v>700</v>
      </c>
      <c r="AI11" s="160">
        <v>30</v>
      </c>
      <c r="AJ11" s="160" t="s">
        <v>701</v>
      </c>
      <c r="AK11" s="160" t="s">
        <v>702</v>
      </c>
      <c r="AL11" s="160" t="s">
        <v>703</v>
      </c>
      <c r="AM11" s="160" t="s">
        <v>690</v>
      </c>
      <c r="AN11" s="160" t="s">
        <v>691</v>
      </c>
      <c r="AO11" s="160" t="s">
        <v>692</v>
      </c>
      <c r="AP11" s="160" t="s">
        <v>335</v>
      </c>
      <c r="AQ11" s="160" t="s">
        <v>376</v>
      </c>
      <c r="AR11" s="160" t="s">
        <v>704</v>
      </c>
      <c r="AS11" s="160" t="s">
        <v>698</v>
      </c>
      <c r="AT11" s="160" t="s">
        <v>705</v>
      </c>
      <c r="AU11" s="160" t="s">
        <v>698</v>
      </c>
      <c r="AV11" s="160" t="s">
        <v>699</v>
      </c>
      <c r="AW11" s="160" t="s">
        <v>698</v>
      </c>
      <c r="AX11" s="161" t="s">
        <v>700</v>
      </c>
      <c r="AY11" s="160" t="s">
        <v>335</v>
      </c>
      <c r="AZ11" s="160" t="s">
        <v>335</v>
      </c>
      <c r="BA11" s="160" t="s">
        <v>335</v>
      </c>
      <c r="BB11" s="160" t="s">
        <v>335</v>
      </c>
      <c r="BC11" s="160" t="s">
        <v>335</v>
      </c>
      <c r="BD11" s="160" t="s">
        <v>335</v>
      </c>
      <c r="BE11" s="160" t="s">
        <v>335</v>
      </c>
      <c r="BF11" s="160" t="s">
        <v>335</v>
      </c>
      <c r="BG11" s="160" t="s">
        <v>335</v>
      </c>
      <c r="BH11" s="160" t="s">
        <v>335</v>
      </c>
      <c r="BI11" s="160" t="s">
        <v>335</v>
      </c>
      <c r="BJ11" s="160" t="s">
        <v>335</v>
      </c>
      <c r="BK11" s="160" t="s">
        <v>335</v>
      </c>
      <c r="BL11" s="160" t="s">
        <v>335</v>
      </c>
      <c r="BM11" s="160" t="s">
        <v>335</v>
      </c>
      <c r="BN11" s="160" t="s">
        <v>335</v>
      </c>
      <c r="BO11" s="160" t="s">
        <v>335</v>
      </c>
      <c r="BP11" s="160" t="s">
        <v>335</v>
      </c>
      <c r="BQ11" s="160" t="s">
        <v>335</v>
      </c>
      <c r="BR11" s="160" t="s">
        <v>335</v>
      </c>
      <c r="BS11" s="160" t="s">
        <v>335</v>
      </c>
      <c r="BT11" s="160" t="s">
        <v>335</v>
      </c>
      <c r="BU11" s="160" t="s">
        <v>335</v>
      </c>
    </row>
    <row r="12" spans="1:73" ht="53.25" customHeight="1">
      <c r="A12" s="27"/>
      <c r="B12" s="27"/>
      <c r="C12" s="160" t="s">
        <v>681</v>
      </c>
      <c r="D12" s="160" t="s">
        <v>682</v>
      </c>
      <c r="E12" s="160" t="s">
        <v>706</v>
      </c>
      <c r="F12" s="160" t="s">
        <v>684</v>
      </c>
      <c r="G12" s="161" t="s">
        <v>707</v>
      </c>
      <c r="H12" s="160" t="s">
        <v>686</v>
      </c>
      <c r="I12" s="160" t="s">
        <v>682</v>
      </c>
      <c r="J12" s="160" t="s">
        <v>708</v>
      </c>
      <c r="K12" s="160" t="s">
        <v>709</v>
      </c>
      <c r="L12" s="160" t="s">
        <v>710</v>
      </c>
      <c r="M12" s="160" t="s">
        <v>711</v>
      </c>
      <c r="N12" s="160" t="s">
        <v>712</v>
      </c>
      <c r="O12" s="160" t="s">
        <v>713</v>
      </c>
      <c r="P12" s="160" t="s">
        <v>335</v>
      </c>
      <c r="Q12" s="160" t="s">
        <v>693</v>
      </c>
      <c r="R12" s="160" t="s">
        <v>335</v>
      </c>
      <c r="S12" s="160">
        <v>30</v>
      </c>
      <c r="T12" s="160" t="s">
        <v>694</v>
      </c>
      <c r="U12" s="162">
        <v>18000</v>
      </c>
      <c r="V12" s="160" t="s">
        <v>714</v>
      </c>
      <c r="W12" s="160" t="s">
        <v>711</v>
      </c>
      <c r="X12" s="160" t="s">
        <v>712</v>
      </c>
      <c r="Y12" s="160" t="s">
        <v>713</v>
      </c>
      <c r="Z12" s="160" t="s">
        <v>335</v>
      </c>
      <c r="AA12" s="160" t="s">
        <v>696</v>
      </c>
      <c r="AB12" s="160" t="s">
        <v>715</v>
      </c>
      <c r="AC12" s="160"/>
      <c r="AD12" s="160"/>
      <c r="AE12" s="160"/>
      <c r="AF12" s="160" t="s">
        <v>716</v>
      </c>
      <c r="AG12" s="160"/>
      <c r="AH12" s="160"/>
      <c r="AI12" s="160">
        <v>30</v>
      </c>
      <c r="AJ12" s="160" t="s">
        <v>701</v>
      </c>
      <c r="AK12" s="160" t="s">
        <v>702</v>
      </c>
      <c r="AL12" s="160" t="s">
        <v>717</v>
      </c>
      <c r="AM12" s="160" t="s">
        <v>711</v>
      </c>
      <c r="AN12" s="160" t="s">
        <v>712</v>
      </c>
      <c r="AO12" s="160" t="s">
        <v>713</v>
      </c>
      <c r="AP12" s="160" t="s">
        <v>335</v>
      </c>
      <c r="AQ12" s="160" t="s">
        <v>376</v>
      </c>
      <c r="AR12" s="160" t="s">
        <v>718</v>
      </c>
      <c r="AS12" s="160"/>
      <c r="AT12" s="160"/>
      <c r="AU12" s="160"/>
      <c r="AV12" s="160" t="s">
        <v>716</v>
      </c>
      <c r="AW12" s="160"/>
      <c r="AX12" s="160"/>
      <c r="AY12" s="160">
        <v>130</v>
      </c>
      <c r="AZ12" s="160" t="s">
        <v>719</v>
      </c>
      <c r="BA12" s="160" t="s">
        <v>720</v>
      </c>
      <c r="BB12" s="163">
        <v>44853</v>
      </c>
      <c r="BC12" s="160" t="s">
        <v>711</v>
      </c>
      <c r="BD12" s="160" t="s">
        <v>712</v>
      </c>
      <c r="BE12" s="160" t="s">
        <v>713</v>
      </c>
      <c r="BF12" s="160" t="s">
        <v>335</v>
      </c>
      <c r="BG12" s="160" t="s">
        <v>376</v>
      </c>
      <c r="BH12" s="160" t="s">
        <v>699</v>
      </c>
      <c r="BI12" s="163">
        <v>44853</v>
      </c>
      <c r="BJ12" s="160" t="s">
        <v>335</v>
      </c>
      <c r="BK12" s="160" t="s">
        <v>335</v>
      </c>
      <c r="BL12" s="160" t="s">
        <v>335</v>
      </c>
      <c r="BM12" s="160" t="s">
        <v>335</v>
      </c>
      <c r="BN12" s="160" t="s">
        <v>335</v>
      </c>
      <c r="BO12" s="160" t="s">
        <v>335</v>
      </c>
      <c r="BP12" s="160" t="s">
        <v>335</v>
      </c>
      <c r="BQ12" s="160" t="s">
        <v>335</v>
      </c>
      <c r="BR12" s="160" t="s">
        <v>335</v>
      </c>
      <c r="BS12" s="160" t="s">
        <v>335</v>
      </c>
      <c r="BT12" s="160" t="s">
        <v>335</v>
      </c>
      <c r="BU12" s="160" t="s">
        <v>335</v>
      </c>
    </row>
    <row r="13" spans="1:73" ht="56.25" customHeight="1">
      <c r="A13" s="27"/>
      <c r="B13" s="27"/>
      <c r="C13" s="160" t="s">
        <v>681</v>
      </c>
      <c r="D13" s="160" t="s">
        <v>682</v>
      </c>
      <c r="E13" s="160" t="s">
        <v>706</v>
      </c>
      <c r="F13" s="160" t="s">
        <v>684</v>
      </c>
      <c r="G13" s="161" t="s">
        <v>721</v>
      </c>
      <c r="H13" s="160" t="s">
        <v>686</v>
      </c>
      <c r="I13" s="160" t="s">
        <v>682</v>
      </c>
      <c r="J13" s="160" t="s">
        <v>708</v>
      </c>
      <c r="K13" s="160" t="s">
        <v>709</v>
      </c>
      <c r="L13" s="160" t="s">
        <v>710</v>
      </c>
      <c r="M13" s="160" t="s">
        <v>722</v>
      </c>
      <c r="N13" s="160" t="s">
        <v>723</v>
      </c>
      <c r="O13" s="160" t="s">
        <v>724</v>
      </c>
      <c r="P13" s="160" t="s">
        <v>335</v>
      </c>
      <c r="Q13" s="160" t="s">
        <v>693</v>
      </c>
      <c r="R13" s="160" t="s">
        <v>335</v>
      </c>
      <c r="S13" s="160">
        <v>35</v>
      </c>
      <c r="T13" s="160" t="s">
        <v>694</v>
      </c>
      <c r="U13" s="162">
        <v>21000</v>
      </c>
      <c r="V13" s="160" t="s">
        <v>714</v>
      </c>
      <c r="W13" s="160" t="s">
        <v>722</v>
      </c>
      <c r="X13" s="160" t="s">
        <v>723</v>
      </c>
      <c r="Y13" s="160" t="s">
        <v>724</v>
      </c>
      <c r="Z13" s="160" t="s">
        <v>335</v>
      </c>
      <c r="AA13" s="160" t="s">
        <v>696</v>
      </c>
      <c r="AB13" s="160" t="s">
        <v>725</v>
      </c>
      <c r="AC13" s="160"/>
      <c r="AD13" s="160"/>
      <c r="AE13" s="160"/>
      <c r="AF13" s="160" t="s">
        <v>699</v>
      </c>
      <c r="AG13" s="160"/>
      <c r="AH13" s="160"/>
      <c r="AI13" s="160">
        <v>35</v>
      </c>
      <c r="AJ13" s="160" t="s">
        <v>701</v>
      </c>
      <c r="AK13" s="160" t="s">
        <v>726</v>
      </c>
      <c r="AL13" s="160" t="s">
        <v>717</v>
      </c>
      <c r="AM13" s="160" t="s">
        <v>722</v>
      </c>
      <c r="AN13" s="160" t="s">
        <v>723</v>
      </c>
      <c r="AO13" s="160" t="s">
        <v>724</v>
      </c>
      <c r="AP13" s="160" t="s">
        <v>335</v>
      </c>
      <c r="AQ13" s="160" t="s">
        <v>376</v>
      </c>
      <c r="AR13" s="160" t="s">
        <v>727</v>
      </c>
      <c r="AS13" s="160"/>
      <c r="AT13" s="160"/>
      <c r="AU13" s="160"/>
      <c r="AV13" s="160" t="s">
        <v>699</v>
      </c>
      <c r="AW13" s="160"/>
      <c r="AX13" s="160"/>
      <c r="AY13" s="160">
        <v>123</v>
      </c>
      <c r="AZ13" s="160" t="s">
        <v>719</v>
      </c>
      <c r="BA13" s="160" t="s">
        <v>728</v>
      </c>
      <c r="BB13" s="164">
        <v>44809</v>
      </c>
      <c r="BC13" s="160" t="s">
        <v>722</v>
      </c>
      <c r="BD13" s="160" t="s">
        <v>723</v>
      </c>
      <c r="BE13" s="160" t="s">
        <v>724</v>
      </c>
      <c r="BF13" s="160" t="s">
        <v>335</v>
      </c>
      <c r="BG13" s="160" t="s">
        <v>376</v>
      </c>
      <c r="BH13" s="160" t="s">
        <v>699</v>
      </c>
      <c r="BI13" s="164">
        <v>44809</v>
      </c>
      <c r="BJ13" s="160" t="s">
        <v>335</v>
      </c>
      <c r="BK13" s="160" t="s">
        <v>335</v>
      </c>
      <c r="BL13" s="160" t="s">
        <v>335</v>
      </c>
      <c r="BM13" s="160" t="s">
        <v>335</v>
      </c>
      <c r="BN13" s="160" t="s">
        <v>335</v>
      </c>
      <c r="BO13" s="160" t="s">
        <v>335</v>
      </c>
      <c r="BP13" s="160" t="s">
        <v>335</v>
      </c>
      <c r="BQ13" s="160" t="s">
        <v>335</v>
      </c>
      <c r="BR13" s="160" t="s">
        <v>335</v>
      </c>
      <c r="BS13" s="160" t="s">
        <v>335</v>
      </c>
      <c r="BT13" s="160" t="s">
        <v>335</v>
      </c>
      <c r="BU13" s="160" t="s">
        <v>335</v>
      </c>
    </row>
    <row r="14" spans="1:73" ht="15.75" customHeight="1">
      <c r="A14" s="96"/>
      <c r="B14" s="96"/>
      <c r="C14" s="160" t="s">
        <v>681</v>
      </c>
      <c r="D14" s="160" t="s">
        <v>682</v>
      </c>
      <c r="E14" s="27" t="s">
        <v>729</v>
      </c>
      <c r="F14" s="27" t="s">
        <v>730</v>
      </c>
      <c r="G14" s="96" t="s">
        <v>731</v>
      </c>
      <c r="H14" s="27" t="s">
        <v>686</v>
      </c>
      <c r="I14" s="27" t="s">
        <v>682</v>
      </c>
      <c r="J14" s="96" t="s">
        <v>687</v>
      </c>
      <c r="K14" s="96" t="s">
        <v>732</v>
      </c>
      <c r="L14" s="96" t="s">
        <v>733</v>
      </c>
      <c r="M14" s="96" t="s">
        <v>734</v>
      </c>
      <c r="N14" s="96"/>
      <c r="O14" s="96" t="s">
        <v>735</v>
      </c>
      <c r="P14" s="96" t="s">
        <v>335</v>
      </c>
      <c r="Q14" s="27" t="s">
        <v>693</v>
      </c>
      <c r="R14" s="96" t="s">
        <v>116</v>
      </c>
      <c r="S14" s="158"/>
      <c r="T14" s="27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</row>
    <row r="15" spans="1:73" ht="15.75" customHeight="1">
      <c r="A15" s="96"/>
      <c r="B15" s="96"/>
      <c r="C15" s="160" t="s">
        <v>681</v>
      </c>
      <c r="D15" s="160" t="s">
        <v>682</v>
      </c>
      <c r="E15" s="27" t="s">
        <v>729</v>
      </c>
      <c r="F15" s="27" t="s">
        <v>730</v>
      </c>
      <c r="G15" s="96" t="s">
        <v>736</v>
      </c>
      <c r="H15" s="27" t="s">
        <v>686</v>
      </c>
      <c r="I15" s="27" t="s">
        <v>682</v>
      </c>
      <c r="J15" s="96" t="s">
        <v>687</v>
      </c>
      <c r="K15" s="96" t="s">
        <v>737</v>
      </c>
      <c r="L15" s="96" t="s">
        <v>733</v>
      </c>
      <c r="M15" s="96" t="s">
        <v>738</v>
      </c>
      <c r="N15" s="96" t="s">
        <v>739</v>
      </c>
      <c r="O15" s="96" t="s">
        <v>740</v>
      </c>
      <c r="P15" s="96" t="s">
        <v>335</v>
      </c>
      <c r="Q15" s="27" t="s">
        <v>693</v>
      </c>
      <c r="R15" s="96" t="s">
        <v>116</v>
      </c>
      <c r="S15" s="158"/>
      <c r="T15" s="27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</row>
    <row r="16" spans="1:73" ht="15.75" customHeight="1">
      <c r="A16" s="96"/>
      <c r="B16" s="96"/>
      <c r="C16" s="160" t="s">
        <v>681</v>
      </c>
      <c r="D16" s="160" t="s">
        <v>682</v>
      </c>
      <c r="E16" s="27" t="s">
        <v>729</v>
      </c>
      <c r="F16" s="27" t="s">
        <v>730</v>
      </c>
      <c r="G16" s="96" t="s">
        <v>741</v>
      </c>
      <c r="H16" s="27" t="s">
        <v>686</v>
      </c>
      <c r="I16" s="27" t="s">
        <v>682</v>
      </c>
      <c r="J16" s="96" t="s">
        <v>687</v>
      </c>
      <c r="K16" s="96" t="s">
        <v>742</v>
      </c>
      <c r="L16" s="96" t="s">
        <v>733</v>
      </c>
      <c r="M16" s="96" t="s">
        <v>743</v>
      </c>
      <c r="N16" s="96" t="s">
        <v>744</v>
      </c>
      <c r="O16" s="96" t="s">
        <v>745</v>
      </c>
      <c r="P16" s="96" t="s">
        <v>335</v>
      </c>
      <c r="Q16" s="96" t="s">
        <v>746</v>
      </c>
      <c r="R16" s="96" t="s">
        <v>116</v>
      </c>
      <c r="S16" s="158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</row>
    <row r="17" spans="1:73" ht="15.75" customHeight="1">
      <c r="A17" s="96"/>
      <c r="B17" s="96"/>
      <c r="C17" s="160" t="s">
        <v>681</v>
      </c>
      <c r="D17" s="160" t="s">
        <v>682</v>
      </c>
      <c r="E17" s="27" t="s">
        <v>729</v>
      </c>
      <c r="F17" s="27" t="s">
        <v>730</v>
      </c>
      <c r="G17" s="96" t="s">
        <v>747</v>
      </c>
      <c r="H17" s="27" t="s">
        <v>686</v>
      </c>
      <c r="I17" s="27" t="s">
        <v>682</v>
      </c>
      <c r="J17" s="96" t="s">
        <v>687</v>
      </c>
      <c r="K17" s="96" t="s">
        <v>748</v>
      </c>
      <c r="L17" s="96" t="s">
        <v>733</v>
      </c>
      <c r="M17" s="96" t="s">
        <v>749</v>
      </c>
      <c r="N17" s="96" t="s">
        <v>723</v>
      </c>
      <c r="O17" s="96" t="s">
        <v>750</v>
      </c>
      <c r="P17" s="96" t="s">
        <v>335</v>
      </c>
      <c r="Q17" s="96" t="s">
        <v>746</v>
      </c>
      <c r="R17" s="96" t="s">
        <v>116</v>
      </c>
      <c r="S17" s="158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</row>
    <row r="18" spans="1:73" ht="15.75" customHeight="1">
      <c r="A18" s="33"/>
      <c r="B18" s="33"/>
      <c r="C18" s="165"/>
      <c r="D18" s="165"/>
      <c r="E18" s="165"/>
      <c r="F18" s="165"/>
      <c r="G18" s="33"/>
      <c r="H18" s="165"/>
      <c r="I18" s="165"/>
      <c r="J18" s="33"/>
      <c r="K18" s="33"/>
      <c r="L18" s="33"/>
      <c r="M18" s="33"/>
      <c r="N18" s="33"/>
      <c r="O18" s="33"/>
      <c r="P18" s="33"/>
      <c r="Q18" s="33"/>
      <c r="R18" s="33"/>
      <c r="S18" s="38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</row>
    <row r="19" spans="1:73" ht="15.75" customHeight="1">
      <c r="A19" s="33"/>
      <c r="B19" s="33"/>
      <c r="C19" s="165"/>
      <c r="D19" s="165"/>
      <c r="E19" s="165"/>
      <c r="F19" s="165"/>
      <c r="G19" s="33"/>
      <c r="H19" s="165"/>
      <c r="I19" s="165"/>
      <c r="J19" s="33"/>
      <c r="K19" s="33"/>
      <c r="L19" s="33"/>
      <c r="M19" s="33"/>
      <c r="N19" s="33"/>
      <c r="O19" s="33"/>
      <c r="P19" s="33"/>
      <c r="Q19" s="33"/>
      <c r="R19" s="33"/>
      <c r="S19" s="38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</row>
    <row r="20" spans="1:73" ht="15.75" customHeight="1">
      <c r="A20" s="33"/>
      <c r="B20" s="33"/>
      <c r="C20" s="165"/>
      <c r="D20" s="165"/>
      <c r="E20" s="165"/>
      <c r="F20" s="165"/>
      <c r="G20" s="33"/>
      <c r="H20" s="165"/>
      <c r="I20" s="165"/>
      <c r="J20" s="33"/>
      <c r="K20" s="33"/>
      <c r="L20" s="33"/>
      <c r="M20" s="33"/>
      <c r="N20" s="33"/>
      <c r="O20" s="33"/>
      <c r="P20" s="33"/>
      <c r="Q20" s="33"/>
      <c r="R20" s="33"/>
      <c r="S20" s="38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</row>
    <row r="21" spans="1:73" ht="15.75" customHeight="1">
      <c r="A21" s="33"/>
      <c r="B21" s="33"/>
      <c r="C21" s="165"/>
      <c r="D21" s="165"/>
      <c r="E21" s="165"/>
      <c r="F21" s="165"/>
      <c r="G21" s="33"/>
      <c r="H21" s="165"/>
      <c r="I21" s="165"/>
      <c r="J21" s="33"/>
      <c r="K21" s="33"/>
      <c r="L21" s="33"/>
      <c r="M21" s="33"/>
      <c r="N21" s="33"/>
      <c r="O21" s="33"/>
      <c r="P21" s="33"/>
      <c r="Q21" s="33"/>
      <c r="R21" s="33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</row>
    <row r="22" spans="1:73" ht="15.75" customHeight="1">
      <c r="A22" s="33"/>
      <c r="B22" s="33"/>
      <c r="C22" s="165"/>
      <c r="D22" s="165"/>
      <c r="E22" s="165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8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</row>
    <row r="23" spans="1:73" ht="15.75" customHeight="1">
      <c r="A23" s="33"/>
      <c r="B23" s="33"/>
      <c r="C23" s="165"/>
      <c r="D23" s="165"/>
      <c r="E23" s="165"/>
      <c r="F23" s="33"/>
      <c r="G23" s="33"/>
      <c r="H23" s="165"/>
      <c r="I23" s="165"/>
      <c r="J23" s="33"/>
      <c r="K23" s="33"/>
      <c r="L23" s="33"/>
      <c r="M23" s="33"/>
      <c r="N23" s="33"/>
      <c r="O23" s="33"/>
      <c r="P23" s="33"/>
      <c r="Q23" s="33"/>
      <c r="R23" s="33"/>
      <c r="S23" s="38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</row>
    <row r="24" spans="1:73" ht="15.75" customHeight="1">
      <c r="A24" s="33"/>
      <c r="B24" s="33"/>
      <c r="C24" s="165"/>
      <c r="D24" s="165"/>
      <c r="E24" s="165"/>
      <c r="F24" s="33"/>
      <c r="G24" s="33"/>
      <c r="H24" s="165"/>
      <c r="I24" s="165"/>
      <c r="J24" s="33"/>
      <c r="K24" s="33"/>
      <c r="L24" s="33"/>
      <c r="M24" s="33"/>
      <c r="N24" s="33"/>
      <c r="O24" s="33"/>
      <c r="P24" s="33"/>
      <c r="Q24" s="33"/>
      <c r="R24" s="33"/>
      <c r="S24" s="38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</row>
    <row r="25" spans="1:73" ht="15.75" customHeight="1">
      <c r="A25" s="33"/>
      <c r="B25" s="33"/>
      <c r="C25" s="165"/>
      <c r="D25" s="165"/>
      <c r="E25" s="165"/>
      <c r="F25" s="33"/>
      <c r="G25" s="33"/>
      <c r="H25" s="165"/>
      <c r="I25" s="165"/>
      <c r="J25" s="33"/>
      <c r="K25" s="33"/>
      <c r="L25" s="33"/>
      <c r="M25" s="33"/>
      <c r="N25" s="33"/>
      <c r="O25" s="33"/>
      <c r="P25" s="33"/>
      <c r="Q25" s="33"/>
      <c r="R25" s="33"/>
      <c r="S25" s="38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</row>
    <row r="26" spans="1:73" ht="15.75" customHeight="1">
      <c r="A26" s="33"/>
      <c r="B26" s="33"/>
      <c r="C26" s="165"/>
      <c r="D26" s="165"/>
      <c r="E26" s="165"/>
      <c r="F26" s="33"/>
      <c r="G26" s="33"/>
      <c r="H26" s="165"/>
      <c r="I26" s="165"/>
      <c r="J26" s="33"/>
      <c r="K26" s="33"/>
      <c r="L26" s="33"/>
      <c r="M26" s="33"/>
      <c r="N26" s="33"/>
      <c r="O26" s="33"/>
      <c r="P26" s="33"/>
      <c r="Q26" s="33"/>
      <c r="R26" s="33"/>
      <c r="S26" s="38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</row>
    <row r="27" spans="1:73" ht="15.75" customHeight="1">
      <c r="A27" s="33"/>
      <c r="B27" s="33"/>
      <c r="C27" s="165"/>
      <c r="D27" s="165"/>
      <c r="E27" s="165"/>
      <c r="F27" s="33"/>
      <c r="G27" s="33"/>
      <c r="H27" s="165"/>
      <c r="I27" s="165"/>
      <c r="J27" s="33"/>
      <c r="K27" s="33"/>
      <c r="L27" s="33"/>
      <c r="M27" s="33"/>
      <c r="N27" s="33"/>
      <c r="O27" s="33"/>
      <c r="P27" s="33"/>
      <c r="Q27" s="33"/>
      <c r="R27" s="33"/>
      <c r="S27" s="38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</row>
    <row r="28" spans="1:73" ht="15.75" customHeight="1">
      <c r="A28" s="33"/>
      <c r="B28" s="33"/>
      <c r="C28" s="165"/>
      <c r="D28" s="165"/>
      <c r="E28" s="165"/>
      <c r="F28" s="33"/>
      <c r="G28" s="33"/>
      <c r="H28" s="165"/>
      <c r="I28" s="165"/>
      <c r="J28" s="33"/>
      <c r="K28" s="33"/>
      <c r="L28" s="33"/>
      <c r="M28" s="33"/>
      <c r="N28" s="33"/>
      <c r="O28" s="33"/>
      <c r="P28" s="33"/>
      <c r="Q28" s="33"/>
      <c r="R28" s="33"/>
      <c r="S28" s="38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</row>
    <row r="29" spans="1:73" ht="15.75" customHeight="1">
      <c r="A29" s="33"/>
      <c r="B29" s="33"/>
      <c r="C29" s="165"/>
      <c r="D29" s="165"/>
      <c r="E29" s="165"/>
      <c r="F29" s="33"/>
      <c r="G29" s="33"/>
      <c r="H29" s="165"/>
      <c r="I29" s="165"/>
      <c r="J29" s="33"/>
      <c r="K29" s="33"/>
      <c r="L29" s="33"/>
      <c r="M29" s="33"/>
      <c r="N29" s="33"/>
      <c r="O29" s="33"/>
      <c r="P29" s="33"/>
      <c r="Q29" s="33"/>
      <c r="R29" s="33"/>
      <c r="S29" s="38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</row>
    <row r="30" spans="1:73" ht="15.75" customHeight="1">
      <c r="A30" s="33"/>
      <c r="B30" s="33"/>
      <c r="C30" s="165"/>
      <c r="D30" s="165"/>
      <c r="E30" s="165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8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</row>
    <row r="31" spans="1:73" ht="15.75" customHeight="1">
      <c r="A31" s="33"/>
      <c r="B31" s="33"/>
      <c r="C31" s="165"/>
      <c r="D31" s="165"/>
      <c r="E31" s="165"/>
      <c r="F31" s="33"/>
      <c r="G31" s="33"/>
      <c r="H31" s="165"/>
      <c r="I31" s="165"/>
      <c r="J31" s="33"/>
      <c r="K31" s="33"/>
      <c r="L31" s="33"/>
      <c r="M31" s="33"/>
      <c r="N31" s="33"/>
      <c r="O31" s="33"/>
      <c r="P31" s="33"/>
      <c r="Q31" s="33"/>
      <c r="R31" s="33"/>
      <c r="S31" s="38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</row>
    <row r="32" spans="1:73" ht="15.75" customHeight="1">
      <c r="A32" s="33"/>
      <c r="B32" s="33"/>
      <c r="C32" s="165"/>
      <c r="D32" s="165"/>
      <c r="E32" s="165"/>
      <c r="F32" s="33"/>
      <c r="G32" s="33"/>
      <c r="H32" s="165"/>
      <c r="I32" s="165"/>
      <c r="J32" s="33"/>
      <c r="K32" s="33"/>
      <c r="L32" s="33"/>
      <c r="M32" s="33"/>
      <c r="N32" s="33"/>
      <c r="O32" s="33"/>
      <c r="P32" s="33"/>
      <c r="Q32" s="33"/>
      <c r="R32" s="33"/>
      <c r="S32" s="38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</row>
    <row r="33" spans="1:73" ht="15.75" customHeight="1">
      <c r="A33" s="33"/>
      <c r="B33" s="33"/>
      <c r="C33" s="165"/>
      <c r="D33" s="165"/>
      <c r="E33" s="165"/>
      <c r="F33" s="33"/>
      <c r="G33" s="33"/>
      <c r="H33" s="165"/>
      <c r="I33" s="165"/>
      <c r="J33" s="33"/>
      <c r="K33" s="33"/>
      <c r="L33" s="33"/>
      <c r="M33" s="33"/>
      <c r="N33" s="33"/>
      <c r="O33" s="33"/>
      <c r="P33" s="33"/>
      <c r="Q33" s="33"/>
      <c r="R33" s="33"/>
      <c r="S33" s="38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</row>
    <row r="34" spans="1:73" ht="15.75" customHeight="1">
      <c r="A34" s="33"/>
      <c r="B34" s="33"/>
      <c r="C34" s="165"/>
      <c r="D34" s="165"/>
      <c r="E34" s="165"/>
      <c r="F34" s="33"/>
      <c r="G34" s="33"/>
      <c r="H34" s="165"/>
      <c r="I34" s="165"/>
      <c r="J34" s="33"/>
      <c r="K34" s="33"/>
      <c r="L34" s="33"/>
      <c r="M34" s="33"/>
      <c r="N34" s="33"/>
      <c r="O34" s="33"/>
      <c r="P34" s="33"/>
      <c r="Q34" s="33"/>
      <c r="R34" s="33"/>
      <c r="S34" s="38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</row>
    <row r="35" spans="1:73" ht="15.75" customHeight="1">
      <c r="A35" s="33"/>
      <c r="B35" s="33"/>
      <c r="C35" s="165"/>
      <c r="D35" s="165"/>
      <c r="E35" s="165"/>
      <c r="F35" s="33"/>
      <c r="G35" s="33"/>
      <c r="H35" s="165"/>
      <c r="I35" s="165"/>
      <c r="J35" s="33"/>
      <c r="K35" s="33"/>
      <c r="L35" s="33"/>
      <c r="M35" s="33"/>
      <c r="N35" s="33"/>
      <c r="O35" s="33"/>
      <c r="P35" s="33"/>
      <c r="Q35" s="33"/>
      <c r="R35" s="33"/>
      <c r="S35" s="38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</row>
    <row r="36" spans="1:73" ht="15.75" customHeight="1">
      <c r="A36" s="33"/>
      <c r="B36" s="33"/>
      <c r="C36" s="165"/>
      <c r="D36" s="165"/>
      <c r="E36" s="165"/>
      <c r="F36" s="33"/>
      <c r="G36" s="33"/>
      <c r="H36" s="165"/>
      <c r="I36" s="165"/>
      <c r="J36" s="33"/>
      <c r="K36" s="33"/>
      <c r="L36" s="33"/>
      <c r="M36" s="33"/>
      <c r="N36" s="33"/>
      <c r="O36" s="33"/>
      <c r="P36" s="33"/>
      <c r="Q36" s="33"/>
      <c r="R36" s="33"/>
      <c r="S36" s="38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</row>
    <row r="37" spans="1:73" ht="15.75" customHeight="1">
      <c r="A37" s="33"/>
      <c r="B37" s="33"/>
      <c r="C37" s="165"/>
      <c r="D37" s="165"/>
      <c r="E37" s="165"/>
      <c r="F37" s="33"/>
      <c r="G37" s="33"/>
      <c r="H37" s="165"/>
      <c r="I37" s="165"/>
      <c r="J37" s="33"/>
      <c r="K37" s="33"/>
      <c r="L37" s="33"/>
      <c r="M37" s="33"/>
      <c r="N37" s="33"/>
      <c r="O37" s="33"/>
      <c r="P37" s="33"/>
      <c r="Q37" s="33"/>
      <c r="R37" s="33"/>
      <c r="S37" s="38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</row>
    <row r="38" spans="1:73" ht="15.75" customHeigh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8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</row>
    <row r="39" spans="1:73" ht="15.75" customHeight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8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</row>
    <row r="40" spans="1:73" ht="15.75" customHeigh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8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</row>
    <row r="41" spans="1:73" ht="15.75" customHeigh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8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</row>
    <row r="42" spans="1:73" ht="15.75" customHeigh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8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</row>
    <row r="43" spans="1:73" ht="15.75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8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</row>
    <row r="44" spans="1:73" ht="15.75" customHeigh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8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</row>
    <row r="45" spans="1:73" ht="15.75" customHeigh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8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</row>
    <row r="46" spans="1:73" ht="15.7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8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</row>
    <row r="47" spans="1:73" ht="15.7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8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</row>
    <row r="48" spans="1:73" ht="15.7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8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</row>
    <row r="49" spans="1:73" ht="15.7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8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</row>
    <row r="50" spans="1:73" ht="15.7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8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</row>
    <row r="51" spans="1:73" ht="15.7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8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</row>
    <row r="52" spans="1:73" ht="15.7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8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</row>
    <row r="53" spans="1:73" ht="15.7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8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</row>
    <row r="54" spans="1:73" ht="15.7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8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</row>
    <row r="55" spans="1:73" ht="15.7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8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</row>
    <row r="56" spans="1:73" ht="15.7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8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</row>
    <row r="57" spans="1:73" ht="15.7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8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</row>
    <row r="58" spans="1:73" ht="15.7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8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</row>
    <row r="59" spans="1:73" ht="15.7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8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</row>
    <row r="60" spans="1:73" ht="15.7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8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</row>
    <row r="61" spans="1:73" ht="15.7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8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</row>
    <row r="62" spans="1:73" ht="15.7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8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</row>
    <row r="63" spans="1:73" ht="15.7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8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</row>
    <row r="64" spans="1:73" ht="15.7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8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</row>
    <row r="65" spans="1:73" ht="15.7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8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</row>
    <row r="66" spans="1:73" ht="15.7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8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</row>
    <row r="67" spans="1:73" ht="15.7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8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</row>
    <row r="68" spans="1:73" ht="15.7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8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</row>
    <row r="69" spans="1:73" ht="15.7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8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</row>
    <row r="70" spans="1:73" ht="15.7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8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</row>
    <row r="71" spans="1:73" ht="15.7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8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</row>
    <row r="72" spans="1:73" ht="15.7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8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</row>
    <row r="73" spans="1:73" ht="15.7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8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</row>
    <row r="74" spans="1:73" ht="15.7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8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</row>
    <row r="75" spans="1:73" ht="15.7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8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</row>
    <row r="76" spans="1:73" ht="15.7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8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</row>
    <row r="77" spans="1:73" ht="15.7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8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</row>
    <row r="78" spans="1:73" ht="15.7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8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</row>
    <row r="79" spans="1:73" ht="15.7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8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</row>
    <row r="80" spans="1:73" ht="15.7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8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</row>
    <row r="81" spans="1:73" ht="15.7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8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</row>
    <row r="82" spans="1:73" ht="15.7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8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</row>
    <row r="83" spans="1:73" ht="15.7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8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</row>
    <row r="84" spans="1:73" ht="15.7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8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</row>
    <row r="85" spans="1:73" ht="15.7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8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</row>
    <row r="86" spans="1:73" ht="15.7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8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</row>
    <row r="87" spans="1:73" ht="15.7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8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</row>
    <row r="88" spans="1:73" ht="15.7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8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</row>
    <row r="89" spans="1:73" ht="15.7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8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</row>
    <row r="90" spans="1:73" ht="15.7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8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</row>
    <row r="91" spans="1:73" ht="15.7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8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</row>
    <row r="92" spans="1:73" ht="15.7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8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</row>
    <row r="93" spans="1:73" ht="15.7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8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</row>
    <row r="94" spans="1:73" ht="15.7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8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</row>
    <row r="95" spans="1:73" ht="15.7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8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</row>
    <row r="96" spans="1:73" ht="15.7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8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</row>
    <row r="97" spans="1:73" ht="15.7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8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</row>
    <row r="98" spans="1:73" ht="15.7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8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</row>
    <row r="99" spans="1:73" ht="15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8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</row>
    <row r="100" spans="1:73" ht="15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8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</row>
    <row r="101" spans="1:73" ht="15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8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</row>
    <row r="102" spans="1:73" ht="15.7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8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</row>
    <row r="103" spans="1:73" ht="15.7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8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</row>
    <row r="104" spans="1:73" ht="15.7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8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</row>
    <row r="105" spans="1:73" ht="15.7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8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</row>
    <row r="106" spans="1:73" ht="15.7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8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</row>
    <row r="107" spans="1:73" ht="15.7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8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</row>
    <row r="108" spans="1:73" ht="15.7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8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</row>
    <row r="109" spans="1:73" ht="15.7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8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</row>
    <row r="110" spans="1:73" ht="15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8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</row>
    <row r="111" spans="1:73" ht="15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8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</row>
    <row r="112" spans="1:73" ht="15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8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</row>
    <row r="113" spans="1:73" ht="15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8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</row>
    <row r="114" spans="1:73" ht="15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8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</row>
    <row r="115" spans="1:73" ht="15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8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</row>
    <row r="116" spans="1:73" ht="15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8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</row>
    <row r="117" spans="1:73" ht="15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8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</row>
    <row r="118" spans="1:73" ht="15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8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</row>
    <row r="119" spans="1:73" ht="15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8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</row>
    <row r="120" spans="1:73" ht="15.7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8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</row>
    <row r="121" spans="1:73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8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</row>
    <row r="122" spans="1:73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8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</row>
    <row r="123" spans="1:73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8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</row>
    <row r="124" spans="1:73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8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</row>
    <row r="125" spans="1:73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8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</row>
    <row r="126" spans="1:73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8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</row>
    <row r="127" spans="1:73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8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</row>
    <row r="128" spans="1:73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8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</row>
    <row r="129" spans="1:73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8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</row>
    <row r="130" spans="1:73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8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</row>
    <row r="131" spans="1:73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8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</row>
    <row r="132" spans="1:73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8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</row>
    <row r="133" spans="1:73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8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</row>
    <row r="134" spans="1:73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8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</row>
    <row r="135" spans="1:73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8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</row>
    <row r="136" spans="1:73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8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</row>
    <row r="137" spans="1:73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8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</row>
    <row r="138" spans="1:73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8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</row>
    <row r="139" spans="1:73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8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</row>
    <row r="140" spans="1:73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8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</row>
    <row r="141" spans="1:73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8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</row>
    <row r="142" spans="1:73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8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</row>
    <row r="143" spans="1:73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8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</row>
    <row r="144" spans="1:73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8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</row>
    <row r="145" spans="1:73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8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</row>
    <row r="146" spans="1:73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8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</row>
    <row r="147" spans="1:73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8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</row>
    <row r="148" spans="1:73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8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</row>
    <row r="149" spans="1:73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8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</row>
    <row r="150" spans="1:73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8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</row>
    <row r="151" spans="1:73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8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</row>
    <row r="152" spans="1:73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8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</row>
    <row r="153" spans="1:73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8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</row>
    <row r="154" spans="1:73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8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</row>
    <row r="155" spans="1:73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8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</row>
    <row r="156" spans="1:73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8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</row>
    <row r="157" spans="1:73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8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</row>
    <row r="158" spans="1:73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8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</row>
    <row r="159" spans="1:73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8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</row>
    <row r="160" spans="1:73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8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</row>
    <row r="161" spans="1:73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8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</row>
    <row r="162" spans="1:73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8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</row>
    <row r="163" spans="1:73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8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</row>
    <row r="164" spans="1:73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8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</row>
    <row r="165" spans="1:73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8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</row>
    <row r="166" spans="1:73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8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</row>
    <row r="167" spans="1:73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8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</row>
    <row r="168" spans="1:73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8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</row>
    <row r="169" spans="1:73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8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</row>
    <row r="170" spans="1:73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8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</row>
    <row r="171" spans="1:73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8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</row>
    <row r="172" spans="1:73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8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</row>
    <row r="173" spans="1:73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8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</row>
    <row r="174" spans="1:73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8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</row>
    <row r="175" spans="1:73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8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</row>
    <row r="176" spans="1:73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8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</row>
    <row r="177" spans="1:73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8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</row>
    <row r="178" spans="1:73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8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</row>
    <row r="179" spans="1:73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8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</row>
    <row r="180" spans="1:73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8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</row>
    <row r="181" spans="1:73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8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</row>
    <row r="182" spans="1:73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8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</row>
    <row r="183" spans="1:73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8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</row>
    <row r="184" spans="1:73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8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</row>
    <row r="185" spans="1:73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8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</row>
    <row r="186" spans="1:73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8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</row>
    <row r="187" spans="1:73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8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</row>
    <row r="188" spans="1:73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8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</row>
    <row r="189" spans="1:73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8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</row>
    <row r="190" spans="1:73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8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</row>
    <row r="191" spans="1:73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8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</row>
    <row r="192" spans="1:73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8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</row>
    <row r="193" spans="1:73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8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</row>
    <row r="194" spans="1:73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8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</row>
    <row r="195" spans="1:73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8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</row>
    <row r="196" spans="1:73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8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</row>
    <row r="197" spans="1:73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8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</row>
    <row r="198" spans="1:73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8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</row>
    <row r="199" spans="1:73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8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</row>
    <row r="200" spans="1:73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8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</row>
    <row r="201" spans="1:73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8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</row>
    <row r="202" spans="1:73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8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</row>
    <row r="203" spans="1:73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8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</row>
    <row r="204" spans="1:73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8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</row>
    <row r="205" spans="1:73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8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</row>
    <row r="206" spans="1:73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8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</row>
    <row r="207" spans="1:73" ht="15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8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</row>
    <row r="208" spans="1:73" ht="15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8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</row>
    <row r="209" spans="1:73" ht="15.7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8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</row>
    <row r="210" spans="1:73" ht="15.7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8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</row>
    <row r="211" spans="1:73" ht="15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8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</row>
    <row r="212" spans="1:73" ht="15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8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</row>
    <row r="213" spans="1:73" ht="15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8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</row>
    <row r="214" spans="1:73" ht="15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8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</row>
    <row r="215" spans="1:73" ht="15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8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</row>
    <row r="216" spans="1:73" ht="15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8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</row>
    <row r="217" spans="1:73" ht="15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8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</row>
    <row r="218" spans="1:73" ht="15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8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</row>
    <row r="219" spans="1:73" ht="15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8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</row>
    <row r="220" spans="1:73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8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</row>
    <row r="221" spans="1:73" ht="15.75" customHeight="1"/>
    <row r="222" spans="1:73" ht="15.75" customHeight="1"/>
    <row r="223" spans="1:73" ht="15.75" customHeight="1"/>
    <row r="224" spans="1:7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BC8:BG8"/>
    <mergeCell ref="BN8:BR8"/>
    <mergeCell ref="AM6:AQ6"/>
    <mergeCell ref="AR6:AU6"/>
    <mergeCell ref="H8:L8"/>
    <mergeCell ref="G10:L10"/>
    <mergeCell ref="M10:R10"/>
    <mergeCell ref="M8:P8"/>
    <mergeCell ref="W8:AA8"/>
    <mergeCell ref="AB8:AD8"/>
    <mergeCell ref="AM8:AQ8"/>
    <mergeCell ref="AR8:AT8"/>
    <mergeCell ref="H6:L6"/>
    <mergeCell ref="M6:R6"/>
    <mergeCell ref="W6:AA6"/>
    <mergeCell ref="AB6:AE6"/>
    <mergeCell ref="AF6:AH6"/>
    <mergeCell ref="BC5:BI5"/>
    <mergeCell ref="BN5:BU5"/>
    <mergeCell ref="AV6:AX6"/>
    <mergeCell ref="BC6:BG6"/>
    <mergeCell ref="BH6:BJ6"/>
    <mergeCell ref="BN6:BR6"/>
    <mergeCell ref="BS6:BU6"/>
    <mergeCell ref="C5:D5"/>
    <mergeCell ref="E5:F5"/>
    <mergeCell ref="G5:R5"/>
    <mergeCell ref="S5:AH5"/>
    <mergeCell ref="AI5:AX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DDN_FOs</vt:lpstr>
      <vt:lpstr>DDN_SHFs</vt:lpstr>
      <vt:lpstr>DDO_FOs</vt:lpstr>
      <vt:lpstr>DS_FOs</vt:lpstr>
      <vt:lpstr>DOCC_FOs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matolraymund@gmail.com</cp:lastModifiedBy>
  <dcterms:created xsi:type="dcterms:W3CDTF">2026-03-03T00:20:02Z</dcterms:created>
  <dcterms:modified xsi:type="dcterms:W3CDTF">2026-03-31T08:59:21Z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00A0069C5A504420A67809858755210D_13</vt:lpwstr>
  </property>
  <property fmtid="{D5CDD505-2E9C-101B-9397-08002B2CF9AE}" pid="3" name="KSOProductBuildVer">
    <vt:lpwstr>2057-12.2.0.23196</vt:lpwstr>
  </property>
</Properties>
</file>